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mardon\UNBC\Courses\ECON-611\Group Project\"/>
    </mc:Choice>
  </mc:AlternateContent>
  <xr:revisionPtr revIDLastSave="0" documentId="13_ncr:1_{75809EBD-6FE2-4687-BE13-8757CFFC1EA0}" xr6:coauthVersionLast="47" xr6:coauthVersionMax="47" xr10:uidLastSave="{00000000-0000-0000-0000-000000000000}"/>
  <bookViews>
    <workbookView xWindow="-108" yWindow="-108" windowWidth="23256" windowHeight="12576" activeTab="1" xr2:uid="{6832477F-F6C6-4EB0-86B1-4E06BC66BACA}"/>
  </bookViews>
  <sheets>
    <sheet name="Cover Page" sheetId="2" r:id="rId1"/>
    <sheet name="Levelized Cost of Energy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1" i="1" s="1"/>
  <c r="E18" i="1"/>
  <c r="F18" i="1" s="1"/>
  <c r="G18" i="1" s="1"/>
  <c r="AB26" i="1"/>
  <c r="AB25" i="1"/>
  <c r="AB27" i="1" s="1"/>
  <c r="AB19" i="1"/>
  <c r="AB14" i="1"/>
  <c r="AB15" i="1" s="1"/>
  <c r="AB20" i="1" s="1"/>
  <c r="AA27" i="1"/>
  <c r="AA26" i="1"/>
  <c r="AA25" i="1"/>
  <c r="AA19" i="1"/>
  <c r="AA14" i="1"/>
  <c r="AA15" i="1" s="1"/>
  <c r="AA20" i="1" s="1"/>
  <c r="Z27" i="1"/>
  <c r="Z28" i="1" s="1"/>
  <c r="Z26" i="1"/>
  <c r="Z25" i="1"/>
  <c r="Z19" i="1"/>
  <c r="Z14" i="1"/>
  <c r="Z15" i="1" s="1"/>
  <c r="Z20" i="1" s="1"/>
  <c r="Y27" i="1"/>
  <c r="Y26" i="1"/>
  <c r="Y25" i="1"/>
  <c r="Y19" i="1"/>
  <c r="Y14" i="1"/>
  <c r="Y15" i="1" s="1"/>
  <c r="Y20" i="1" s="1"/>
  <c r="X27" i="1"/>
  <c r="X28" i="1" s="1"/>
  <c r="X26" i="1"/>
  <c r="X25" i="1"/>
  <c r="X19" i="1"/>
  <c r="X14" i="1"/>
  <c r="X15" i="1" s="1"/>
  <c r="X20" i="1" s="1"/>
  <c r="W26" i="1"/>
  <c r="W25" i="1"/>
  <c r="W27" i="1" s="1"/>
  <c r="W19" i="1"/>
  <c r="W14" i="1"/>
  <c r="W15" i="1" s="1"/>
  <c r="W20" i="1" s="1"/>
  <c r="V26" i="1"/>
  <c r="V25" i="1"/>
  <c r="V27" i="1" s="1"/>
  <c r="V19" i="1"/>
  <c r="V14" i="1"/>
  <c r="V15" i="1" s="1"/>
  <c r="V20" i="1" s="1"/>
  <c r="U26" i="1"/>
  <c r="U25" i="1"/>
  <c r="U27" i="1" s="1"/>
  <c r="U28" i="1" s="1"/>
  <c r="U19" i="1"/>
  <c r="U15" i="1"/>
  <c r="U20" i="1" s="1"/>
  <c r="U14" i="1"/>
  <c r="T27" i="1"/>
  <c r="T26" i="1"/>
  <c r="T25" i="1"/>
  <c r="T19" i="1"/>
  <c r="T14" i="1"/>
  <c r="T15" i="1" s="1"/>
  <c r="T20" i="1" s="1"/>
  <c r="S27" i="1"/>
  <c r="S28" i="1" s="1"/>
  <c r="S26" i="1"/>
  <c r="S25" i="1"/>
  <c r="S19" i="1"/>
  <c r="S14" i="1"/>
  <c r="S15" i="1" s="1"/>
  <c r="S20" i="1" s="1"/>
  <c r="R27" i="1"/>
  <c r="R26" i="1"/>
  <c r="R25" i="1"/>
  <c r="R19" i="1"/>
  <c r="R14" i="1"/>
  <c r="R15" i="1" s="1"/>
  <c r="R20" i="1" s="1"/>
  <c r="Q26" i="1"/>
  <c r="Q25" i="1"/>
  <c r="Q27" i="1" s="1"/>
  <c r="Q28" i="1" s="1"/>
  <c r="Q19" i="1"/>
  <c r="Q14" i="1"/>
  <c r="Q15" i="1" s="1"/>
  <c r="Q20" i="1" s="1"/>
  <c r="P26" i="1"/>
  <c r="P25" i="1"/>
  <c r="P27" i="1" s="1"/>
  <c r="P19" i="1"/>
  <c r="P14" i="1"/>
  <c r="P15" i="1" s="1"/>
  <c r="P20" i="1" s="1"/>
  <c r="O27" i="1"/>
  <c r="O28" i="1" s="1"/>
  <c r="O26" i="1"/>
  <c r="O25" i="1"/>
  <c r="O19" i="1"/>
  <c r="O14" i="1"/>
  <c r="O15" i="1" s="1"/>
  <c r="O20" i="1" s="1"/>
  <c r="N26" i="1"/>
  <c r="N25" i="1"/>
  <c r="N27" i="1" s="1"/>
  <c r="N19" i="1"/>
  <c r="N14" i="1"/>
  <c r="N15" i="1" s="1"/>
  <c r="N20" i="1" s="1"/>
  <c r="C14" i="1"/>
  <c r="C28" i="1"/>
  <c r="E26" i="1"/>
  <c r="F26" i="1" s="1"/>
  <c r="M19" i="1"/>
  <c r="L19" i="1"/>
  <c r="K19" i="1"/>
  <c r="J19" i="1"/>
  <c r="I19" i="1"/>
  <c r="H19" i="1"/>
  <c r="G19" i="1"/>
  <c r="F19" i="1"/>
  <c r="E19" i="1"/>
  <c r="R28" i="1" l="1"/>
  <c r="Y28" i="1"/>
  <c r="AB28" i="1"/>
  <c r="T28" i="1"/>
  <c r="AA28" i="1"/>
  <c r="W28" i="1"/>
  <c r="V28" i="1"/>
  <c r="P28" i="1"/>
  <c r="N28" i="1"/>
  <c r="G26" i="1"/>
  <c r="H18" i="1"/>
  <c r="D14" i="1"/>
  <c r="E14" i="1" l="1"/>
  <c r="D15" i="1"/>
  <c r="D25" i="1" s="1"/>
  <c r="H26" i="1"/>
  <c r="I18" i="1"/>
  <c r="D20" i="1" l="1"/>
  <c r="D21" i="1" s="1"/>
  <c r="D27" i="1"/>
  <c r="D28" i="1" s="1"/>
  <c r="E25" i="1"/>
  <c r="F14" i="1"/>
  <c r="E15" i="1"/>
  <c r="E20" i="1" s="1"/>
  <c r="E21" i="1" s="1"/>
  <c r="I26" i="1"/>
  <c r="J18" i="1"/>
  <c r="G14" i="1" l="1"/>
  <c r="F15" i="1"/>
  <c r="F20" i="1" s="1"/>
  <c r="F21" i="1" s="1"/>
  <c r="E27" i="1"/>
  <c r="E28" i="1" s="1"/>
  <c r="F25" i="1"/>
  <c r="J26" i="1"/>
  <c r="K18" i="1"/>
  <c r="G25" i="1" l="1"/>
  <c r="F27" i="1"/>
  <c r="F28" i="1" s="1"/>
  <c r="H14" i="1"/>
  <c r="G15" i="1"/>
  <c r="G20" i="1" s="1"/>
  <c r="G21" i="1" s="1"/>
  <c r="L18" i="1"/>
  <c r="K26" i="1"/>
  <c r="H15" i="1" l="1"/>
  <c r="H20" i="1" s="1"/>
  <c r="H21" i="1" s="1"/>
  <c r="I14" i="1"/>
  <c r="G27" i="1"/>
  <c r="G28" i="1" s="1"/>
  <c r="H25" i="1"/>
  <c r="L26" i="1"/>
  <c r="M18" i="1"/>
  <c r="N18" i="1" s="1"/>
  <c r="O18" i="1" l="1"/>
  <c r="N21" i="1"/>
  <c r="H27" i="1"/>
  <c r="H28" i="1" s="1"/>
  <c r="I25" i="1"/>
  <c r="I15" i="1"/>
  <c r="I20" i="1" s="1"/>
  <c r="I21" i="1" s="1"/>
  <c r="J14" i="1"/>
  <c r="M26" i="1"/>
  <c r="P18" i="1" l="1"/>
  <c r="O21" i="1"/>
  <c r="K14" i="1"/>
  <c r="J15" i="1"/>
  <c r="J20" i="1" s="1"/>
  <c r="J21" i="1" s="1"/>
  <c r="I27" i="1"/>
  <c r="I28" i="1" s="1"/>
  <c r="J25" i="1"/>
  <c r="Q18" i="1" l="1"/>
  <c r="P21" i="1"/>
  <c r="J27" i="1"/>
  <c r="J28" i="1" s="1"/>
  <c r="K25" i="1"/>
  <c r="L14" i="1"/>
  <c r="K15" i="1"/>
  <c r="K20" i="1" s="1"/>
  <c r="K21" i="1" s="1"/>
  <c r="R18" i="1" l="1"/>
  <c r="Q21" i="1"/>
  <c r="M14" i="1"/>
  <c r="M15" i="1" s="1"/>
  <c r="M20" i="1" s="1"/>
  <c r="M21" i="1" s="1"/>
  <c r="L15" i="1"/>
  <c r="L20" i="1" s="1"/>
  <c r="L21" i="1" s="1"/>
  <c r="L25" i="1"/>
  <c r="K27" i="1"/>
  <c r="K28" i="1" s="1"/>
  <c r="S18" i="1" l="1"/>
  <c r="R21" i="1"/>
  <c r="M25" i="1"/>
  <c r="M27" i="1" s="1"/>
  <c r="M28" i="1" s="1"/>
  <c r="C29" i="1" s="1"/>
  <c r="L27" i="1"/>
  <c r="L28" i="1" s="1"/>
  <c r="T18" i="1" l="1"/>
  <c r="S21" i="1"/>
  <c r="U18" i="1" l="1"/>
  <c r="T21" i="1"/>
  <c r="V18" i="1" l="1"/>
  <c r="U21" i="1"/>
  <c r="W18" i="1" l="1"/>
  <c r="V21" i="1"/>
  <c r="X18" i="1" l="1"/>
  <c r="W21" i="1"/>
  <c r="Y18" i="1" l="1"/>
  <c r="X21" i="1"/>
  <c r="Z18" i="1" l="1"/>
  <c r="Y21" i="1"/>
  <c r="AA18" i="1" l="1"/>
  <c r="Z21" i="1"/>
  <c r="AB18" i="1" l="1"/>
  <c r="AB21" i="1" s="1"/>
  <c r="AA21" i="1"/>
  <c r="C22" i="1" l="1"/>
  <c r="C32" i="1" s="1"/>
</calcChain>
</file>

<file path=xl/sharedStrings.xml><?xml version="1.0" encoding="utf-8"?>
<sst xmlns="http://schemas.openxmlformats.org/spreadsheetml/2006/main" count="81" uniqueCount="38">
  <si>
    <t>Strictly Confidential</t>
  </si>
  <si>
    <t>Table of Contents</t>
  </si>
  <si>
    <t>© 2015 to 2022 CFI Education Inc.</t>
  </si>
  <si>
    <t>This Excel model is for educational purposes only and should not be used for any other reason. All content is Copyright material of CFI Education Inc.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</si>
  <si>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</si>
  <si>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</si>
  <si>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</si>
  <si>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</si>
  <si>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>https://corporatefinanceinstitute.com/</t>
  </si>
  <si>
    <t xml:space="preserve"> </t>
  </si>
  <si>
    <t>Levelized Cost of Energy</t>
  </si>
  <si>
    <t>Levelized Cost of Energy Template</t>
  </si>
  <si>
    <t>Total Costs</t>
  </si>
  <si>
    <t>Assumptions (in '000s)</t>
  </si>
  <si>
    <t>Initial Investment Cost ($)</t>
  </si>
  <si>
    <t>Operations and Maintenance Costs ($)</t>
  </si>
  <si>
    <t>O&amp;M Growth Rate (%)</t>
  </si>
  <si>
    <t>Annual Fuel Costs ($)</t>
  </si>
  <si>
    <t>Annual Electricity Output (kWH)</t>
  </si>
  <si>
    <t>Project Lifespan (years)</t>
  </si>
  <si>
    <t>Discount Rate (%)</t>
  </si>
  <si>
    <t>Entry Date</t>
  </si>
  <si>
    <t>Entry</t>
  </si>
  <si>
    <t>Construction</t>
  </si>
  <si>
    <t>Operations</t>
  </si>
  <si>
    <t>Date</t>
  </si>
  <si>
    <t>Year Frac (From Start Date)</t>
  </si>
  <si>
    <t>Initial Investment</t>
  </si>
  <si>
    <t>O&amp;M Costs</t>
  </si>
  <si>
    <t>Fuel Costs</t>
  </si>
  <si>
    <t>Discount Factor</t>
  </si>
  <si>
    <t>Present Value of Costs</t>
  </si>
  <si>
    <t>NPV of Total Costs</t>
  </si>
  <si>
    <t>Total Energy Output</t>
  </si>
  <si>
    <t>Yearly Output</t>
  </si>
  <si>
    <t>NPV of Total Output</t>
  </si>
  <si>
    <t>LCOE</t>
  </si>
  <si>
    <t>Levelized Cost of Energy Template (LCOE)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</si>
</sst>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#,##0_)_%;\(#,##0\)_%;_(&quot;–&quot;_)_%;_(@_)_%"/>
    <numFmt numFmtId="165" formatCode="0&quot;A&quot;"/>
    <numFmt numFmtId="166" formatCode="0&quot;F&quot;"/>
    <numFmt numFmtId="167" formatCode="#,##0_);\(#,##0\);\-"/>
    <numFmt numFmtId="168" formatCode="_(#,##0_);\(#,##0\);_(&quot;–&quot;_);_(@_)"/>
    <numFmt numFmtId="169" formatCode="_(#,##0.0%_);\(#,##0.0%\);_(&quot;–&quot;_)_%;_(@_)_%"/>
    <numFmt numFmtId="170" formatCode="0.0%"/>
    <numFmt numFmtId="171" formatCode="_(#,##0.00_);\(#,##0.00\);_(&quot;–&quot;_);_(@_)"/>
    <numFmt numFmtId="172" formatCode="_-* #,##0_-;\-* #,##0_-;_-* &quot;-&quot;??_-;_-@_-"/>
    <numFmt numFmtId="173" formatCode="0.000"/>
    <numFmt numFmtId="174" formatCode="#,##0;\(#,##0\);\-"/>
    <numFmt numFmtId="175" formatCode="&quot;$&quot;#,##0"/>
    <numFmt numFmtId="176" formatCode="#,##0&quot;kWh&quot;;\(#,##0\)&quot;kWh&quot;;\-"/>
    <numFmt numFmtId="177" formatCode="&quot;$&quot;#,##0.00&quot;/kWh&quot;;\(&quot;$&quot;#,##0.00\)&quot;/kWh&quot;;\-"/>
  </numFmts>
  <fonts count="36">
    <font>
      <sz val="10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sz val="10"/>
      <color theme="0"/>
      <name val="Open Sans"/>
      <family val="2"/>
    </font>
    <font>
      <u/>
      <sz val="10"/>
      <color theme="10"/>
      <name val="Open Sans"/>
      <family val="2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u/>
      <sz val="10"/>
      <color theme="10"/>
      <name val="Arial"/>
      <family val="2"/>
    </font>
    <font>
      <u/>
      <sz val="12"/>
      <color theme="10"/>
      <name val="Open Sans"/>
      <family val="2"/>
    </font>
    <font>
      <b/>
      <sz val="12"/>
      <color theme="0"/>
      <name val="Open Sans"/>
      <family val="2"/>
    </font>
    <font>
      <sz val="11"/>
      <color theme="0"/>
      <name val="Open Sans"/>
      <family val="2"/>
    </font>
    <font>
      <sz val="10"/>
      <name val="Bookman"/>
      <family val="1"/>
    </font>
    <font>
      <b/>
      <sz val="14"/>
      <color rgb="FF3271D2"/>
      <name val="Open Sans"/>
      <family val="2"/>
    </font>
    <font>
      <b/>
      <sz val="10"/>
      <color theme="0"/>
      <name val="Calibri"/>
      <family val="2"/>
    </font>
    <font>
      <b/>
      <sz val="14"/>
      <color rgb="FF0000FF"/>
      <name val="Open Sans"/>
      <family val="2"/>
    </font>
    <font>
      <b/>
      <sz val="10"/>
      <name val="Open Sans"/>
      <family val="2"/>
    </font>
    <font>
      <b/>
      <sz val="10"/>
      <color rgb="FF3271D2"/>
      <name val="Open Sans"/>
      <family val="2"/>
    </font>
    <font>
      <sz val="11"/>
      <name val="Open Sans"/>
      <family val="2"/>
    </font>
    <font>
      <sz val="10"/>
      <color rgb="FF000000"/>
      <name val="Open Sans"/>
      <family val="2"/>
    </font>
    <font>
      <sz val="10"/>
      <name val="Open Sans"/>
      <family val="2"/>
    </font>
    <font>
      <sz val="10"/>
      <color rgb="FF3271D2"/>
      <name val="Open Sans"/>
      <family val="2"/>
    </font>
    <font>
      <i/>
      <sz val="10"/>
      <color rgb="FFFF0000"/>
      <name val="Open Sans"/>
      <family val="2"/>
    </font>
    <font>
      <i/>
      <sz val="10"/>
      <color rgb="FF000000"/>
      <name val="Open Sans"/>
      <family val="2"/>
    </font>
    <font>
      <b/>
      <sz val="10"/>
      <color rgb="FF000000"/>
      <name val="Open Sans"/>
    </font>
    <font>
      <b/>
      <sz val="10"/>
      <name val="Open Sans"/>
    </font>
    <font>
      <i/>
      <sz val="10"/>
      <name val="Open Sans"/>
      <family val="2"/>
    </font>
    <font>
      <sz val="10"/>
      <color theme="1"/>
      <name val="Arial Narrow"/>
      <family val="2"/>
    </font>
    <font>
      <sz val="10"/>
      <name val="Open Sans"/>
    </font>
    <font>
      <sz val="10"/>
      <color rgb="FF3271D2"/>
      <name val="Open Sans"/>
    </font>
    <font>
      <b/>
      <sz val="10"/>
      <color theme="0"/>
      <name val="Open Sans"/>
    </font>
    <font>
      <sz val="10"/>
      <color rgb="FF000000"/>
      <name val="Open Sans"/>
    </font>
    <font>
      <b/>
      <sz val="10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5F7"/>
        <bgColor rgb="FF000000"/>
      </patternFill>
    </fill>
  </fills>
  <borders count="12">
    <border>
      <left/>
      <right/>
      <top/>
      <bottom/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/>
      <right/>
      <top/>
      <bottom style="thin">
        <color auto="1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9">
    <xf numFmtId="0" fontId="0" fillId="0" borderId="0" xfId="0"/>
    <xf numFmtId="0" fontId="7" fillId="0" borderId="0" xfId="4" applyFont="1"/>
    <xf numFmtId="0" fontId="7" fillId="2" borderId="1" xfId="4" applyFont="1" applyFill="1" applyBorder="1"/>
    <xf numFmtId="0" fontId="7" fillId="2" borderId="2" xfId="4" applyFont="1" applyFill="1" applyBorder="1"/>
    <xf numFmtId="0" fontId="7" fillId="2" borderId="3" xfId="4" applyFont="1" applyFill="1" applyBorder="1"/>
    <xf numFmtId="0" fontId="7" fillId="2" borderId="4" xfId="4" applyFont="1" applyFill="1" applyBorder="1"/>
    <xf numFmtId="0" fontId="7" fillId="2" borderId="0" xfId="4" applyFont="1" applyFill="1"/>
    <xf numFmtId="0" fontId="7" fillId="2" borderId="5" xfId="4" applyFont="1" applyFill="1" applyBorder="1"/>
    <xf numFmtId="0" fontId="7" fillId="0" borderId="4" xfId="4" applyFont="1" applyBorder="1"/>
    <xf numFmtId="0" fontId="7" fillId="0" borderId="5" xfId="4" applyFont="1" applyBorder="1"/>
    <xf numFmtId="0" fontId="8" fillId="0" borderId="0" xfId="4" applyFont="1" applyProtection="1">
      <protection locked="0"/>
    </xf>
    <xf numFmtId="0" fontId="9" fillId="0" borderId="0" xfId="4" applyFont="1" applyAlignment="1">
      <alignment horizontal="right"/>
    </xf>
    <xf numFmtId="0" fontId="7" fillId="0" borderId="0" xfId="4" applyFont="1" applyProtection="1">
      <protection locked="0"/>
    </xf>
    <xf numFmtId="0" fontId="10" fillId="0" borderId="0" xfId="4" applyFont="1"/>
    <xf numFmtId="0" fontId="9" fillId="0" borderId="6" xfId="4" applyFont="1" applyBorder="1" applyProtection="1">
      <protection locked="0"/>
    </xf>
    <xf numFmtId="0" fontId="1" fillId="0" borderId="0" xfId="4" applyFont="1"/>
    <xf numFmtId="164" fontId="12" fillId="0" borderId="0" xfId="5" applyNumberFormat="1" applyFont="1" applyFill="1" applyBorder="1" applyProtection="1">
      <protection locked="0"/>
    </xf>
    <xf numFmtId="0" fontId="1" fillId="0" borderId="0" xfId="6" applyFont="1" applyFill="1" applyBorder="1"/>
    <xf numFmtId="0" fontId="13" fillId="3" borderId="0" xfId="4" applyFont="1" applyFill="1"/>
    <xf numFmtId="0" fontId="1" fillId="3" borderId="0" xfId="4" applyFont="1" applyFill="1"/>
    <xf numFmtId="164" fontId="14" fillId="3" borderId="0" xfId="4" applyNumberFormat="1" applyFont="1" applyFill="1"/>
    <xf numFmtId="0" fontId="4" fillId="3" borderId="0" xfId="4" applyFont="1" applyFill="1"/>
    <xf numFmtId="0" fontId="7" fillId="0" borderId="7" xfId="4" applyFont="1" applyBorder="1"/>
    <xf numFmtId="0" fontId="7" fillId="0" borderId="8" xfId="4" applyFont="1" applyBorder="1"/>
    <xf numFmtId="0" fontId="7" fillId="0" borderId="9" xfId="4" applyFont="1" applyBorder="1"/>
    <xf numFmtId="164" fontId="5" fillId="0" borderId="0" xfId="3" applyNumberFormat="1" applyFill="1" applyBorder="1" applyProtection="1">
      <protection locked="0"/>
    </xf>
    <xf numFmtId="37" fontId="16" fillId="4" borderId="0" xfId="4" applyNumberFormat="1" applyFont="1" applyFill="1" applyAlignment="1">
      <alignment vertical="center"/>
    </xf>
    <xf numFmtId="37" fontId="2" fillId="4" borderId="0" xfId="4" applyNumberFormat="1" applyFont="1" applyFill="1" applyAlignment="1">
      <alignment vertical="center"/>
    </xf>
    <xf numFmtId="37" fontId="4" fillId="4" borderId="0" xfId="4" applyNumberFormat="1" applyFont="1" applyFill="1" applyAlignment="1">
      <alignment vertical="center"/>
    </xf>
    <xf numFmtId="165" fontId="2" fillId="4" borderId="0" xfId="4" applyNumberFormat="1" applyFont="1" applyFill="1" applyAlignment="1">
      <alignment horizontal="right"/>
    </xf>
    <xf numFmtId="165" fontId="17" fillId="4" borderId="0" xfId="4" applyNumberFormat="1" applyFont="1" applyFill="1" applyAlignment="1">
      <alignment horizontal="right"/>
    </xf>
    <xf numFmtId="37" fontId="18" fillId="0" borderId="0" xfId="4" applyNumberFormat="1" applyFont="1" applyAlignment="1">
      <alignment vertical="center"/>
    </xf>
    <xf numFmtId="37" fontId="2" fillId="0" borderId="0" xfId="4" applyNumberFormat="1" applyFont="1" applyAlignment="1">
      <alignment vertical="center"/>
    </xf>
    <xf numFmtId="37" fontId="4" fillId="0" borderId="0" xfId="4" applyNumberFormat="1" applyFont="1" applyAlignment="1">
      <alignment vertical="center"/>
    </xf>
    <xf numFmtId="165" fontId="2" fillId="0" borderId="0" xfId="4" applyNumberFormat="1" applyFont="1" applyAlignment="1">
      <alignment horizontal="right"/>
    </xf>
    <xf numFmtId="165" fontId="19" fillId="0" borderId="0" xfId="4" applyNumberFormat="1" applyFont="1" applyAlignment="1">
      <alignment horizontal="right"/>
    </xf>
    <xf numFmtId="0" fontId="21" fillId="0" borderId="0" xfId="4" applyFont="1"/>
    <xf numFmtId="0" fontId="22" fillId="0" borderId="0" xfId="4" applyFont="1"/>
    <xf numFmtId="0" fontId="23" fillId="0" borderId="0" xfId="4" applyFont="1"/>
    <xf numFmtId="167" fontId="22" fillId="0" borderId="0" xfId="4" applyNumberFormat="1" applyFont="1"/>
    <xf numFmtId="0" fontId="22" fillId="0" borderId="0" xfId="4" applyFont="1" applyAlignment="1">
      <alignment horizontal="left" indent="1"/>
    </xf>
    <xf numFmtId="170" fontId="22" fillId="0" borderId="0" xfId="8" applyNumberFormat="1" applyFont="1" applyFill="1" applyBorder="1"/>
    <xf numFmtId="171" fontId="24" fillId="0" borderId="0" xfId="4" applyNumberFormat="1" applyFont="1"/>
    <xf numFmtId="171" fontId="23" fillId="0" borderId="0" xfId="4" applyNumberFormat="1" applyFont="1"/>
    <xf numFmtId="0" fontId="3" fillId="0" borderId="0" xfId="4" applyFont="1"/>
    <xf numFmtId="170" fontId="25" fillId="0" borderId="0" xfId="8" applyNumberFormat="1" applyFont="1" applyFill="1" applyBorder="1"/>
    <xf numFmtId="170" fontId="3" fillId="0" borderId="0" xfId="4" applyNumberFormat="1" applyFont="1"/>
    <xf numFmtId="167" fontId="25" fillId="0" borderId="0" xfId="4" applyNumberFormat="1" applyFont="1" applyAlignment="1">
      <alignment horizontal="centerContinuous"/>
    </xf>
    <xf numFmtId="14" fontId="22" fillId="0" borderId="0" xfId="4" applyNumberFormat="1" applyFont="1"/>
    <xf numFmtId="168" fontId="24" fillId="0" borderId="0" xfId="4" applyNumberFormat="1" applyFont="1"/>
    <xf numFmtId="0" fontId="22" fillId="0" borderId="0" xfId="4" applyFont="1" applyAlignment="1">
      <alignment horizontal="left"/>
    </xf>
    <xf numFmtId="0" fontId="26" fillId="0" borderId="0" xfId="4" applyFont="1" applyAlignment="1">
      <alignment horizontal="left"/>
    </xf>
    <xf numFmtId="165" fontId="17" fillId="0" borderId="0" xfId="4" applyNumberFormat="1" applyFont="1" applyAlignment="1">
      <alignment horizontal="right"/>
    </xf>
    <xf numFmtId="165" fontId="20" fillId="0" borderId="0" xfId="4" applyNumberFormat="1" applyFont="1" applyAlignment="1">
      <alignment horizontal="right"/>
    </xf>
    <xf numFmtId="166" fontId="19" fillId="0" borderId="0" xfId="4" applyNumberFormat="1" applyFont="1" applyAlignment="1">
      <alignment horizontal="right"/>
    </xf>
    <xf numFmtId="169" fontId="24" fillId="0" borderId="0" xfId="4" applyNumberFormat="1" applyFont="1"/>
    <xf numFmtId="0" fontId="27" fillId="0" borderId="10" xfId="4" applyFont="1" applyBorder="1" applyAlignment="1">
      <alignment horizontal="left" indent="1"/>
    </xf>
    <xf numFmtId="0" fontId="23" fillId="0" borderId="10" xfId="4" applyFont="1" applyBorder="1"/>
    <xf numFmtId="0" fontId="28" fillId="0" borderId="10" xfId="4" applyFont="1" applyBorder="1"/>
    <xf numFmtId="164" fontId="29" fillId="0" borderId="10" xfId="4" applyNumberFormat="1" applyFont="1" applyBorder="1" applyAlignment="1">
      <alignment vertical="center"/>
    </xf>
    <xf numFmtId="0" fontId="1" fillId="0" borderId="0" xfId="0" applyFont="1"/>
    <xf numFmtId="37" fontId="30" fillId="0" borderId="0" xfId="4" applyNumberFormat="1" applyFont="1" applyAlignment="1">
      <alignment vertical="center"/>
    </xf>
    <xf numFmtId="0" fontId="29" fillId="0" borderId="0" xfId="4" applyFont="1" applyAlignment="1">
      <alignment horizontal="center"/>
    </xf>
    <xf numFmtId="0" fontId="25" fillId="0" borderId="0" xfId="4" applyFont="1" applyAlignment="1">
      <alignment horizontal="center"/>
    </xf>
    <xf numFmtId="14" fontId="24" fillId="0" borderId="0" xfId="4" applyNumberFormat="1" applyFont="1" applyAlignment="1">
      <alignment horizontal="right"/>
    </xf>
    <xf numFmtId="172" fontId="24" fillId="0" borderId="0" xfId="1" applyNumberFormat="1" applyFont="1" applyAlignment="1">
      <alignment horizontal="right"/>
    </xf>
    <xf numFmtId="10" fontId="24" fillId="0" borderId="0" xfId="2" applyNumberFormat="1" applyFont="1" applyAlignment="1">
      <alignment horizontal="right"/>
    </xf>
    <xf numFmtId="174" fontId="22" fillId="0" borderId="0" xfId="4" applyNumberFormat="1" applyFont="1"/>
    <xf numFmtId="174" fontId="31" fillId="0" borderId="0" xfId="4" applyNumberFormat="1" applyFont="1" applyAlignment="1">
      <alignment horizontal="right"/>
    </xf>
    <xf numFmtId="173" fontId="34" fillId="0" borderId="0" xfId="4" applyNumberFormat="1" applyFont="1" applyAlignment="1">
      <alignment horizontal="right"/>
    </xf>
    <xf numFmtId="173" fontId="31" fillId="0" borderId="0" xfId="4" applyNumberFormat="1" applyFont="1" applyAlignment="1">
      <alignment horizontal="right"/>
    </xf>
    <xf numFmtId="173" fontId="34" fillId="0" borderId="10" xfId="4" applyNumberFormat="1" applyFont="1" applyBorder="1" applyAlignment="1">
      <alignment horizontal="right"/>
    </xf>
    <xf numFmtId="173" fontId="31" fillId="0" borderId="10" xfId="4" applyNumberFormat="1" applyFont="1" applyBorder="1" applyAlignment="1">
      <alignment horizontal="right"/>
    </xf>
    <xf numFmtId="174" fontId="22" fillId="0" borderId="10" xfId="4" applyNumberFormat="1" applyFont="1" applyBorder="1"/>
    <xf numFmtId="0" fontId="28" fillId="0" borderId="0" xfId="4" applyFont="1"/>
    <xf numFmtId="0" fontId="22" fillId="0" borderId="10" xfId="4" applyFont="1" applyBorder="1" applyAlignment="1">
      <alignment horizontal="left" indent="1"/>
    </xf>
    <xf numFmtId="0" fontId="28" fillId="0" borderId="11" xfId="4" applyFont="1" applyBorder="1"/>
    <xf numFmtId="175" fontId="27" fillId="0" borderId="11" xfId="4" applyNumberFormat="1" applyFont="1" applyBorder="1"/>
    <xf numFmtId="176" fontId="27" fillId="0" borderId="11" xfId="4" applyNumberFormat="1" applyFont="1" applyBorder="1"/>
    <xf numFmtId="177" fontId="27" fillId="0" borderId="11" xfId="4" applyNumberFormat="1" applyFont="1" applyBorder="1"/>
    <xf numFmtId="0" fontId="31" fillId="0" borderId="10" xfId="4" applyFont="1" applyBorder="1" applyAlignment="1">
      <alignment horizontal="right"/>
    </xf>
    <xf numFmtId="0" fontId="34" fillId="0" borderId="10" xfId="4" applyFont="1" applyBorder="1" applyAlignment="1">
      <alignment horizontal="right"/>
    </xf>
    <xf numFmtId="171" fontId="34" fillId="0" borderId="10" xfId="4" applyNumberFormat="1" applyFont="1" applyBorder="1" applyAlignment="1">
      <alignment horizontal="right"/>
    </xf>
    <xf numFmtId="14" fontId="34" fillId="0" borderId="0" xfId="4" applyNumberFormat="1" applyFont="1" applyAlignment="1">
      <alignment horizontal="right"/>
    </xf>
    <xf numFmtId="14" fontId="31" fillId="0" borderId="0" xfId="4" applyNumberFormat="1" applyFont="1" applyAlignment="1">
      <alignment horizontal="right"/>
    </xf>
    <xf numFmtId="168" fontId="34" fillId="0" borderId="0" xfId="4" applyNumberFormat="1" applyFont="1" applyAlignment="1">
      <alignment horizontal="right"/>
    </xf>
    <xf numFmtId="37" fontId="33" fillId="0" borderId="0" xfId="4" applyNumberFormat="1" applyFont="1" applyAlignment="1">
      <alignment horizontal="right" vertical="center"/>
    </xf>
    <xf numFmtId="0" fontId="31" fillId="0" borderId="0" xfId="4" applyFont="1" applyAlignment="1">
      <alignment horizontal="right"/>
    </xf>
    <xf numFmtId="165" fontId="28" fillId="0" borderId="0" xfId="4" applyNumberFormat="1" applyFont="1" applyAlignment="1">
      <alignment horizontal="right"/>
    </xf>
    <xf numFmtId="174" fontId="34" fillId="0" borderId="0" xfId="4" applyNumberFormat="1" applyFont="1" applyAlignment="1">
      <alignment horizontal="right"/>
    </xf>
    <xf numFmtId="174" fontId="34" fillId="0" borderId="10" xfId="4" applyNumberFormat="1" applyFont="1" applyBorder="1" applyAlignment="1">
      <alignment horizontal="right"/>
    </xf>
    <xf numFmtId="0" fontId="34" fillId="0" borderId="0" xfId="4" applyFont="1" applyAlignment="1">
      <alignment horizontal="right"/>
    </xf>
    <xf numFmtId="167" fontId="34" fillId="0" borderId="0" xfId="4" applyNumberFormat="1" applyFont="1" applyAlignment="1">
      <alignment horizontal="right"/>
    </xf>
    <xf numFmtId="171" fontId="34" fillId="0" borderId="0" xfId="4" applyNumberFormat="1" applyFont="1" applyAlignment="1">
      <alignment horizontal="right"/>
    </xf>
    <xf numFmtId="168" fontId="34" fillId="0" borderId="10" xfId="4" applyNumberFormat="1" applyFont="1" applyBorder="1" applyAlignment="1">
      <alignment horizontal="right"/>
    </xf>
    <xf numFmtId="168" fontId="32" fillId="0" borderId="0" xfId="4" applyNumberFormat="1" applyFont="1" applyAlignment="1">
      <alignment horizontal="right"/>
    </xf>
    <xf numFmtId="168" fontId="31" fillId="0" borderId="0" xfId="4" applyNumberFormat="1" applyFont="1" applyAlignment="1">
      <alignment horizontal="right"/>
    </xf>
    <xf numFmtId="170" fontId="34" fillId="0" borderId="0" xfId="8" applyNumberFormat="1" applyFont="1" applyFill="1" applyBorder="1" applyAlignment="1">
      <alignment horizontal="right"/>
    </xf>
    <xf numFmtId="0" fontId="35" fillId="0" borderId="0" xfId="4" applyFont="1"/>
  </cellXfs>
  <cellStyles count="9">
    <cellStyle name="Comma 2" xfId="7" xr:uid="{43603F81-F47E-4050-8010-4B0103C6A404}"/>
    <cellStyle name="Hyperlink 2" xfId="5" xr:uid="{A024B678-F84A-4C57-AE03-35579718D611}"/>
    <cellStyle name="Hyperlink 2 2" xfId="6" xr:uid="{29FDE427-18EA-45FF-BD54-5E73B8F81EA5}"/>
    <cellStyle name="Normal 2 2 2" xfId="4" xr:uid="{11011EE2-7339-4664-80AD-BDB89C82C6B2}"/>
    <cellStyle name="Percent 2" xfId="8" xr:uid="{9C61B4C3-F521-4DF7-B7F7-6FE52A55692C}"/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3</xdr:col>
      <xdr:colOff>125170</xdr:colOff>
      <xdr:row>6</xdr:row>
      <xdr:rowOff>23587</xdr:rowOff>
    </xdr:to>
    <xdr:pic>
      <xdr:nvPicPr>
        <xdr:cNvPr id="2" name="Graphic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B084D3-DBC5-4CB1-9179-B26F47BDE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38175" y="990600"/>
          <a:ext cx="2573095" cy="518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7048-2834-4347-8348-C5C1E8A297EF}">
  <dimension ref="A1:M27"/>
  <sheetViews>
    <sheetView showGridLines="0" topLeftCell="A8" workbookViewId="0"/>
  </sheetViews>
  <sheetFormatPr defaultRowHeight="13.8"/>
  <cols>
    <col min="1" max="1" width="4.6640625" customWidth="1"/>
    <col min="2" max="2" width="4.88671875" customWidth="1"/>
    <col min="3" max="3" width="36.6640625" customWidth="1"/>
    <col min="4" max="11" width="10.6640625" customWidth="1"/>
    <col min="12" max="12" width="36.6640625" customWidth="1"/>
    <col min="13" max="13" width="4.88671875" customWidth="1"/>
  </cols>
  <sheetData>
    <row r="1" spans="1:13" ht="1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thickTop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ht="19.5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ht="19.5" customHeight="1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1:13" ht="19.5" customHeight="1">
      <c r="A5" s="1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7"/>
    </row>
    <row r="6" spans="1:13" ht="19.5" customHeight="1">
      <c r="A6" s="1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1:13" ht="19.5" customHeight="1">
      <c r="A7" s="1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7"/>
    </row>
    <row r="8" spans="1:13" ht="19.5" customHeight="1">
      <c r="A8" s="1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7"/>
    </row>
    <row r="9" spans="1:13" ht="19.5" customHeight="1">
      <c r="A9" s="1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7"/>
    </row>
    <row r="10" spans="1:13" ht="19.5" customHeight="1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9"/>
    </row>
    <row r="11" spans="1:13" ht="28.5" customHeight="1">
      <c r="A11" s="1"/>
      <c r="B11" s="8"/>
      <c r="C11" s="10" t="s">
        <v>11</v>
      </c>
      <c r="D11" s="1"/>
      <c r="E11" s="1"/>
      <c r="F11" s="1"/>
      <c r="G11" s="1"/>
      <c r="H11" s="1"/>
      <c r="I11" s="1"/>
      <c r="J11" s="1"/>
      <c r="K11" s="1"/>
      <c r="L11" s="11" t="s">
        <v>0</v>
      </c>
      <c r="M11" s="9"/>
    </row>
    <row r="12" spans="1:13" ht="19.5" customHeight="1">
      <c r="A12" s="1"/>
      <c r="B12" s="8"/>
      <c r="C12" s="12"/>
      <c r="D12" s="1"/>
      <c r="E12" s="1"/>
      <c r="F12" s="1"/>
      <c r="G12" s="1"/>
      <c r="H12" s="1"/>
      <c r="I12" s="1"/>
      <c r="J12" s="1"/>
      <c r="K12" s="13"/>
      <c r="L12" s="1"/>
      <c r="M12" s="9"/>
    </row>
    <row r="13" spans="1:13" ht="19.5" customHeight="1">
      <c r="A13" s="1"/>
      <c r="B13" s="8"/>
      <c r="C13" s="14" t="s">
        <v>1</v>
      </c>
      <c r="D13" s="15"/>
      <c r="E13" s="15"/>
      <c r="F13" s="15"/>
      <c r="G13" s="15"/>
      <c r="H13" s="15"/>
      <c r="I13" s="15"/>
      <c r="J13" s="15"/>
      <c r="K13" s="15"/>
      <c r="L13" s="15"/>
      <c r="M13" s="9"/>
    </row>
    <row r="14" spans="1:13" ht="19.5" customHeight="1">
      <c r="A14" s="1"/>
      <c r="B14" s="8"/>
      <c r="C14" s="1"/>
      <c r="D14" s="15"/>
      <c r="E14" s="15"/>
      <c r="F14" s="15"/>
      <c r="G14" s="15"/>
      <c r="H14" s="15"/>
      <c r="I14" s="15"/>
      <c r="J14" s="15"/>
      <c r="K14" s="15"/>
      <c r="L14" s="15"/>
      <c r="M14" s="9"/>
    </row>
    <row r="15" spans="1:13" ht="14.4">
      <c r="A15" s="1"/>
      <c r="B15" s="8"/>
      <c r="C15" s="25" t="s">
        <v>10</v>
      </c>
      <c r="D15" s="15"/>
      <c r="E15" s="15"/>
      <c r="F15" s="15"/>
      <c r="G15" s="15"/>
      <c r="H15" s="15"/>
      <c r="I15" s="15"/>
      <c r="J15" s="15"/>
      <c r="K15" s="15"/>
      <c r="L15" s="15"/>
      <c r="M15" s="9"/>
    </row>
    <row r="16" spans="1:13" ht="15.6">
      <c r="A16" s="1"/>
      <c r="B16" s="8"/>
      <c r="C16" s="16"/>
      <c r="D16" s="15"/>
      <c r="E16" s="15"/>
      <c r="F16" s="15"/>
      <c r="G16" s="15"/>
      <c r="H16" s="15"/>
      <c r="I16" s="15"/>
      <c r="J16" s="15"/>
      <c r="K16" s="15"/>
      <c r="L16" s="15"/>
      <c r="M16" s="9"/>
    </row>
    <row r="17" spans="1:13" ht="19.5" customHeight="1">
      <c r="A17" s="1"/>
      <c r="B17" s="8"/>
      <c r="C17" s="17"/>
      <c r="D17" s="15"/>
      <c r="E17" s="15"/>
      <c r="F17" s="15"/>
      <c r="G17" s="15"/>
      <c r="H17" s="15"/>
      <c r="I17" s="15"/>
      <c r="J17" s="15"/>
      <c r="K17" s="15"/>
      <c r="L17" s="15"/>
      <c r="M17" s="9"/>
    </row>
    <row r="18" spans="1:13" ht="15.6">
      <c r="A18" s="1"/>
      <c r="B18" s="8"/>
      <c r="C18" s="18" t="s">
        <v>2</v>
      </c>
      <c r="D18" s="19"/>
      <c r="E18" s="19"/>
      <c r="F18" s="19"/>
      <c r="G18" s="19"/>
      <c r="H18" s="19"/>
      <c r="I18" s="19"/>
      <c r="J18" s="19"/>
      <c r="K18" s="19"/>
      <c r="L18" s="19"/>
      <c r="M18" s="9"/>
    </row>
    <row r="19" spans="1:13" ht="19.5" customHeight="1">
      <c r="A19" s="1"/>
      <c r="B19" s="8"/>
      <c r="C19" s="20" t="s">
        <v>3</v>
      </c>
      <c r="D19" s="21"/>
      <c r="E19" s="21"/>
      <c r="F19" s="21"/>
      <c r="G19" s="21"/>
      <c r="H19" s="21"/>
      <c r="I19" s="21"/>
      <c r="J19" s="21"/>
      <c r="K19" s="21"/>
      <c r="L19" s="21"/>
      <c r="M19" s="9"/>
    </row>
    <row r="20" spans="1:13" ht="19.5" customHeight="1">
      <c r="A20" s="1"/>
      <c r="B20" s="8"/>
      <c r="C20" s="20" t="s">
        <v>4</v>
      </c>
      <c r="D20" s="21"/>
      <c r="E20" s="21"/>
      <c r="F20" s="21"/>
      <c r="G20" s="21"/>
      <c r="H20" s="21"/>
      <c r="I20" s="21"/>
      <c r="J20" s="21"/>
      <c r="K20" s="21"/>
      <c r="L20" s="21"/>
      <c r="M20" s="9"/>
    </row>
    <row r="21" spans="1:13" ht="19.5" customHeight="1">
      <c r="A21" s="1"/>
      <c r="B21" s="8"/>
      <c r="C21" s="20" t="s">
        <v>5</v>
      </c>
      <c r="D21" s="21"/>
      <c r="E21" s="21"/>
      <c r="F21" s="21"/>
      <c r="G21" s="21"/>
      <c r="H21" s="21"/>
      <c r="I21" s="21"/>
      <c r="J21" s="21"/>
      <c r="K21" s="21"/>
      <c r="L21" s="21"/>
      <c r="M21" s="9"/>
    </row>
    <row r="22" spans="1:13" ht="19.5" customHeight="1">
      <c r="A22" s="1"/>
      <c r="B22" s="8"/>
      <c r="C22" s="20" t="s">
        <v>6</v>
      </c>
      <c r="D22" s="21"/>
      <c r="E22" s="21"/>
      <c r="F22" s="21"/>
      <c r="G22" s="21"/>
      <c r="H22" s="21"/>
      <c r="I22" s="21"/>
      <c r="J22" s="21"/>
      <c r="K22" s="21"/>
      <c r="L22" s="21"/>
      <c r="M22" s="9"/>
    </row>
    <row r="23" spans="1:13" ht="19.5" customHeight="1">
      <c r="A23" s="1"/>
      <c r="B23" s="8"/>
      <c r="C23" s="20" t="s">
        <v>7</v>
      </c>
      <c r="D23" s="21"/>
      <c r="E23" s="21"/>
      <c r="F23" s="21"/>
      <c r="G23" s="21"/>
      <c r="H23" s="21"/>
      <c r="I23" s="21"/>
      <c r="J23" s="21"/>
      <c r="K23" s="21"/>
      <c r="L23" s="21"/>
      <c r="M23" s="9"/>
    </row>
    <row r="24" spans="1:13" ht="19.5" customHeight="1">
      <c r="A24" s="1"/>
      <c r="B24" s="8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9"/>
    </row>
    <row r="25" spans="1:13" ht="19.5" customHeight="1">
      <c r="A25" s="1"/>
      <c r="B25" s="8"/>
      <c r="C25" s="20" t="s">
        <v>8</v>
      </c>
      <c r="D25" s="21"/>
      <c r="E25" s="21"/>
      <c r="F25" s="21"/>
      <c r="G25" s="21"/>
      <c r="H25" s="21"/>
      <c r="I25" s="21"/>
      <c r="J25" s="21"/>
      <c r="K25" s="21"/>
      <c r="L25" s="21"/>
      <c r="M25" s="9"/>
    </row>
    <row r="26" spans="1:13" ht="15" thickBot="1">
      <c r="A26" s="1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4" t="s">
        <v>9</v>
      </c>
    </row>
    <row r="27" spans="1:13" ht="15" thickTop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hyperlinks>
    <hyperlink ref="C15" location="'Levelized Cost of Energy'!A1" display="Levelized Cost of Energy" xr:uid="{3FF68C6D-F76E-4E8A-A5A9-FB3CD6C6302D}"/>
    <hyperlink ref="C25" r:id="rId1" xr:uid="{24DEED1A-08EB-4A5E-8C92-F8F77765D49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5D02-62A8-47AB-BC43-291672E18FA5}">
  <dimension ref="A1:AB50"/>
  <sheetViews>
    <sheetView showGridLines="0" tabSelected="1" view="pageBreakPreview" zoomScale="47" zoomScaleNormal="85" workbookViewId="0">
      <selection activeCell="B1" sqref="A1:XFD1048576"/>
    </sheetView>
  </sheetViews>
  <sheetFormatPr defaultRowHeight="13.8"/>
  <cols>
    <col min="1" max="1" width="1.88671875" bestFit="1" customWidth="1"/>
    <col min="2" max="2" width="39.5546875" customWidth="1"/>
    <col min="3" max="3" width="20.6640625" customWidth="1"/>
    <col min="4" max="4" width="12.109375" bestFit="1" customWidth="1"/>
    <col min="5" max="5" width="16.88671875" customWidth="1"/>
    <col min="6" max="6" width="13.44140625" customWidth="1"/>
    <col min="7" max="7" width="14.109375" customWidth="1"/>
    <col min="8" max="8" width="14.44140625" customWidth="1"/>
    <col min="9" max="9" width="13.5546875" customWidth="1"/>
    <col min="10" max="10" width="14.5546875" customWidth="1"/>
    <col min="11" max="11" width="13.33203125" customWidth="1"/>
    <col min="12" max="28" width="14" customWidth="1"/>
  </cols>
  <sheetData>
    <row r="1" spans="1:28" ht="15" customHeight="1">
      <c r="A1" s="36" t="s">
        <v>9</v>
      </c>
      <c r="B1" s="26" t="s">
        <v>37</v>
      </c>
      <c r="C1" s="27"/>
      <c r="D1" s="28"/>
      <c r="E1" s="28"/>
      <c r="F1" s="29"/>
      <c r="G1" s="30"/>
      <c r="H1" s="30"/>
      <c r="I1" s="30"/>
      <c r="J1" s="30"/>
      <c r="K1" s="30"/>
      <c r="L1" s="30"/>
      <c r="M1" s="30" t="s">
        <v>9</v>
      </c>
      <c r="N1" s="30" t="s">
        <v>9</v>
      </c>
      <c r="O1" s="30" t="s">
        <v>9</v>
      </c>
      <c r="P1" s="30" t="s">
        <v>9</v>
      </c>
      <c r="Q1" s="30" t="s">
        <v>9</v>
      </c>
      <c r="R1" s="30" t="s">
        <v>9</v>
      </c>
      <c r="S1" s="30" t="s">
        <v>9</v>
      </c>
      <c r="T1" s="30" t="s">
        <v>9</v>
      </c>
      <c r="U1" s="30" t="s">
        <v>9</v>
      </c>
      <c r="V1" s="30" t="s">
        <v>9</v>
      </c>
      <c r="W1" s="30" t="s">
        <v>9</v>
      </c>
      <c r="X1" s="30" t="s">
        <v>9</v>
      </c>
      <c r="Y1" s="30" t="s">
        <v>9</v>
      </c>
      <c r="Z1" s="30" t="s">
        <v>9</v>
      </c>
      <c r="AA1" s="30" t="s">
        <v>9</v>
      </c>
      <c r="AB1" s="30" t="s">
        <v>9</v>
      </c>
    </row>
    <row r="2" spans="1:28" ht="15" customHeight="1">
      <c r="A2" s="36"/>
      <c r="B2" s="31"/>
      <c r="C2" s="32"/>
      <c r="D2" s="33"/>
      <c r="E2" s="33"/>
      <c r="F2" s="34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</row>
    <row r="3" spans="1:28" ht="15" customHeight="1">
      <c r="B3" s="58" t="s">
        <v>13</v>
      </c>
      <c r="C3" s="59"/>
      <c r="D3" s="32"/>
      <c r="E3" s="35"/>
      <c r="F3" s="35"/>
      <c r="G3" s="53"/>
      <c r="H3" s="35"/>
      <c r="I3" s="35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1:28" ht="15" customHeight="1">
      <c r="B4" s="38" t="s">
        <v>14</v>
      </c>
      <c r="C4" s="65">
        <v>1210806589</v>
      </c>
      <c r="D4" s="32"/>
      <c r="E4" s="35"/>
      <c r="F4" s="35"/>
      <c r="G4" s="35"/>
      <c r="H4" s="35"/>
      <c r="I4" s="35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</row>
    <row r="5" spans="1:28" ht="15" customHeight="1">
      <c r="B5" s="38" t="s">
        <v>15</v>
      </c>
      <c r="C5" s="65">
        <v>100564800</v>
      </c>
      <c r="D5" s="32"/>
      <c r="E5" s="62"/>
      <c r="F5" s="35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ht="15" customHeight="1">
      <c r="B6" s="38" t="s">
        <v>16</v>
      </c>
      <c r="C6" s="66">
        <v>0.02</v>
      </c>
      <c r="D6" s="32"/>
      <c r="E6" s="35"/>
      <c r="F6" s="3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 spans="1:28" ht="15" customHeight="1">
      <c r="B7" s="38" t="s">
        <v>17</v>
      </c>
      <c r="C7" s="65">
        <v>0</v>
      </c>
      <c r="D7" s="37"/>
      <c r="E7" s="63"/>
      <c r="F7" s="44"/>
      <c r="G7" s="45"/>
      <c r="H7" s="46"/>
      <c r="I7" s="46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</row>
    <row r="8" spans="1:28" ht="15" customHeight="1">
      <c r="B8" s="38" t="s">
        <v>18</v>
      </c>
      <c r="C8" s="65">
        <v>3504000000</v>
      </c>
      <c r="D8" s="37"/>
      <c r="E8" s="62"/>
      <c r="F8" s="38"/>
      <c r="G8" s="47"/>
      <c r="H8" s="47"/>
      <c r="I8" s="47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spans="1:28" ht="15" customHeight="1">
      <c r="B9" s="38" t="s">
        <v>19</v>
      </c>
      <c r="C9" s="65">
        <v>10</v>
      </c>
      <c r="D9" s="37"/>
      <c r="E9" s="62"/>
      <c r="F9" s="38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 spans="1:28" ht="15" customHeight="1">
      <c r="B10" s="38" t="s">
        <v>20</v>
      </c>
      <c r="C10" s="66">
        <v>0.08</v>
      </c>
      <c r="D10" s="32"/>
      <c r="E10" s="62"/>
      <c r="F10" s="35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spans="1:28" ht="15" customHeight="1">
      <c r="B11" s="38" t="s">
        <v>21</v>
      </c>
      <c r="C11" s="64">
        <v>45200</v>
      </c>
      <c r="D11" s="32"/>
      <c r="E11" s="62"/>
      <c r="F11" s="35"/>
      <c r="G11" s="42"/>
      <c r="H11" s="42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 spans="1:28" ht="15" customHeight="1">
      <c r="B12" s="38"/>
      <c r="C12" s="40"/>
      <c r="D12" s="32"/>
      <c r="E12" s="62"/>
      <c r="F12" s="35"/>
      <c r="G12" s="42"/>
      <c r="H12" s="42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 spans="1:28" ht="15" customHeight="1">
      <c r="B13" s="58" t="s">
        <v>12</v>
      </c>
      <c r="C13" s="56" t="s">
        <v>22</v>
      </c>
      <c r="D13" s="81" t="s">
        <v>23</v>
      </c>
      <c r="E13" s="80" t="s">
        <v>24</v>
      </c>
      <c r="F13" s="80" t="s">
        <v>24</v>
      </c>
      <c r="G13" s="82" t="s">
        <v>24</v>
      </c>
      <c r="H13" s="82" t="s">
        <v>24</v>
      </c>
      <c r="I13" s="82" t="s">
        <v>24</v>
      </c>
      <c r="J13" s="82" t="s">
        <v>24</v>
      </c>
      <c r="K13" s="82" t="s">
        <v>24</v>
      </c>
      <c r="L13" s="82" t="s">
        <v>24</v>
      </c>
      <c r="M13" s="82" t="s">
        <v>24</v>
      </c>
      <c r="N13" s="82" t="s">
        <v>24</v>
      </c>
      <c r="O13" s="82" t="s">
        <v>24</v>
      </c>
      <c r="P13" s="82" t="s">
        <v>24</v>
      </c>
      <c r="Q13" s="82" t="s">
        <v>24</v>
      </c>
      <c r="R13" s="82" t="s">
        <v>24</v>
      </c>
      <c r="S13" s="82" t="s">
        <v>24</v>
      </c>
      <c r="T13" s="82" t="s">
        <v>24</v>
      </c>
      <c r="U13" s="82" t="s">
        <v>24</v>
      </c>
      <c r="V13" s="82" t="s">
        <v>24</v>
      </c>
      <c r="W13" s="82" t="s">
        <v>24</v>
      </c>
      <c r="X13" s="82" t="s">
        <v>24</v>
      </c>
      <c r="Y13" s="82" t="s">
        <v>24</v>
      </c>
      <c r="Z13" s="82" t="s">
        <v>24</v>
      </c>
      <c r="AA13" s="82" t="s">
        <v>24</v>
      </c>
      <c r="AB13" s="82" t="s">
        <v>24</v>
      </c>
    </row>
    <row r="14" spans="1:28" ht="15" customHeight="1">
      <c r="B14" s="38" t="s">
        <v>25</v>
      </c>
      <c r="C14" s="48">
        <f>+C11</f>
        <v>45200</v>
      </c>
      <c r="D14" s="83">
        <f>DATE(YEAR(C14)+1,MONTH(C14),DAY(C14))</f>
        <v>45566</v>
      </c>
      <c r="E14" s="84">
        <f t="shared" ref="E14:AB14" si="0">DATE(YEAR(D14)+1,MONTH(D14),DAY(D14))</f>
        <v>45931</v>
      </c>
      <c r="F14" s="84">
        <f t="shared" si="0"/>
        <v>46296</v>
      </c>
      <c r="G14" s="83">
        <f t="shared" si="0"/>
        <v>46661</v>
      </c>
      <c r="H14" s="83">
        <f t="shared" si="0"/>
        <v>47027</v>
      </c>
      <c r="I14" s="83">
        <f t="shared" si="0"/>
        <v>47392</v>
      </c>
      <c r="J14" s="83">
        <f t="shared" si="0"/>
        <v>47757</v>
      </c>
      <c r="K14" s="83">
        <f t="shared" si="0"/>
        <v>48122</v>
      </c>
      <c r="L14" s="83">
        <f t="shared" si="0"/>
        <v>48488</v>
      </c>
      <c r="M14" s="83">
        <f t="shared" si="0"/>
        <v>48853</v>
      </c>
      <c r="N14" s="83">
        <f t="shared" si="0"/>
        <v>49218</v>
      </c>
      <c r="O14" s="83">
        <f t="shared" si="0"/>
        <v>49583</v>
      </c>
      <c r="P14" s="83">
        <f t="shared" si="0"/>
        <v>49949</v>
      </c>
      <c r="Q14" s="83">
        <f t="shared" si="0"/>
        <v>50314</v>
      </c>
      <c r="R14" s="83">
        <f t="shared" si="0"/>
        <v>50679</v>
      </c>
      <c r="S14" s="83">
        <f t="shared" si="0"/>
        <v>51044</v>
      </c>
      <c r="T14" s="83">
        <f t="shared" si="0"/>
        <v>51410</v>
      </c>
      <c r="U14" s="83">
        <f t="shared" si="0"/>
        <v>51775</v>
      </c>
      <c r="V14" s="83">
        <f t="shared" si="0"/>
        <v>52140</v>
      </c>
      <c r="W14" s="83">
        <f t="shared" si="0"/>
        <v>52505</v>
      </c>
      <c r="X14" s="83">
        <f t="shared" si="0"/>
        <v>52871</v>
      </c>
      <c r="Y14" s="83">
        <f t="shared" si="0"/>
        <v>53236</v>
      </c>
      <c r="Z14" s="83">
        <f t="shared" si="0"/>
        <v>53601</v>
      </c>
      <c r="AA14" s="83">
        <f t="shared" si="0"/>
        <v>53966</v>
      </c>
      <c r="AB14" s="83">
        <f t="shared" si="0"/>
        <v>54332</v>
      </c>
    </row>
    <row r="15" spans="1:28" ht="15" customHeight="1">
      <c r="B15" s="38" t="s">
        <v>26</v>
      </c>
      <c r="C15" s="40"/>
      <c r="D15" s="85">
        <f t="shared" ref="D15:AB15" si="1">YEARFRAC($C$14,D14)</f>
        <v>1</v>
      </c>
      <c r="E15" s="85">
        <f t="shared" si="1"/>
        <v>2</v>
      </c>
      <c r="F15" s="85">
        <f t="shared" si="1"/>
        <v>3</v>
      </c>
      <c r="G15" s="85">
        <f t="shared" si="1"/>
        <v>4</v>
      </c>
      <c r="H15" s="85">
        <f t="shared" si="1"/>
        <v>5</v>
      </c>
      <c r="I15" s="85">
        <f t="shared" si="1"/>
        <v>6</v>
      </c>
      <c r="J15" s="85">
        <f t="shared" si="1"/>
        <v>7</v>
      </c>
      <c r="K15" s="85">
        <f t="shared" si="1"/>
        <v>8</v>
      </c>
      <c r="L15" s="85">
        <f t="shared" si="1"/>
        <v>9</v>
      </c>
      <c r="M15" s="85">
        <f t="shared" si="1"/>
        <v>10</v>
      </c>
      <c r="N15" s="85">
        <f t="shared" si="1"/>
        <v>11</v>
      </c>
      <c r="O15" s="85">
        <f t="shared" si="1"/>
        <v>12</v>
      </c>
      <c r="P15" s="85">
        <f t="shared" si="1"/>
        <v>13</v>
      </c>
      <c r="Q15" s="85">
        <f t="shared" si="1"/>
        <v>14</v>
      </c>
      <c r="R15" s="85">
        <f t="shared" si="1"/>
        <v>15</v>
      </c>
      <c r="S15" s="85">
        <f t="shared" si="1"/>
        <v>16</v>
      </c>
      <c r="T15" s="85">
        <f t="shared" si="1"/>
        <v>17</v>
      </c>
      <c r="U15" s="85">
        <f t="shared" si="1"/>
        <v>18</v>
      </c>
      <c r="V15" s="85">
        <f t="shared" si="1"/>
        <v>19</v>
      </c>
      <c r="W15" s="85">
        <f t="shared" si="1"/>
        <v>20</v>
      </c>
      <c r="X15" s="85">
        <f t="shared" si="1"/>
        <v>21</v>
      </c>
      <c r="Y15" s="85">
        <f t="shared" si="1"/>
        <v>22</v>
      </c>
      <c r="Z15" s="85">
        <f t="shared" si="1"/>
        <v>23</v>
      </c>
      <c r="AA15" s="85">
        <f t="shared" si="1"/>
        <v>24</v>
      </c>
      <c r="AB15" s="85">
        <f t="shared" si="1"/>
        <v>25</v>
      </c>
    </row>
    <row r="16" spans="1:28" ht="15" customHeight="1">
      <c r="B16" s="38"/>
      <c r="C16" s="40"/>
      <c r="D16" s="86"/>
      <c r="E16" s="87"/>
      <c r="F16" s="88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</row>
    <row r="17" spans="2:28" ht="15" customHeight="1">
      <c r="B17" s="38" t="s">
        <v>27</v>
      </c>
      <c r="C17" s="67">
        <f>C4</f>
        <v>1210806589</v>
      </c>
      <c r="D17" s="89">
        <v>0</v>
      </c>
      <c r="E17" s="89">
        <v>0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  <c r="Z17" s="89">
        <v>0</v>
      </c>
      <c r="AA17" s="89">
        <v>0</v>
      </c>
      <c r="AB17" s="89">
        <v>0</v>
      </c>
    </row>
    <row r="18" spans="2:28" ht="15" customHeight="1">
      <c r="B18" s="38" t="s">
        <v>28</v>
      </c>
      <c r="C18" s="67">
        <v>0</v>
      </c>
      <c r="D18" s="89">
        <v>0</v>
      </c>
      <c r="E18" s="68">
        <f>$C$5+$C$7</f>
        <v>100564800</v>
      </c>
      <c r="F18" s="68">
        <f t="shared" ref="F18:M18" si="2">E18*(1+$C$6)</f>
        <v>102576096</v>
      </c>
      <c r="G18" s="89">
        <f t="shared" si="2"/>
        <v>104627617.92</v>
      </c>
      <c r="H18" s="89">
        <f t="shared" si="2"/>
        <v>106720170.2784</v>
      </c>
      <c r="I18" s="89">
        <f t="shared" si="2"/>
        <v>108854573.68396801</v>
      </c>
      <c r="J18" s="89">
        <f t="shared" si="2"/>
        <v>111031665.15764737</v>
      </c>
      <c r="K18" s="89">
        <f t="shared" si="2"/>
        <v>113252298.46080032</v>
      </c>
      <c r="L18" s="89">
        <f t="shared" si="2"/>
        <v>115517344.43001632</v>
      </c>
      <c r="M18" s="89">
        <f t="shared" si="2"/>
        <v>117827691.31861666</v>
      </c>
      <c r="N18" s="89">
        <f t="shared" ref="N18:O18" si="3">M18*(1+$C$6)</f>
        <v>120184245.144989</v>
      </c>
      <c r="O18" s="89">
        <f t="shared" si="3"/>
        <v>122587930.04788879</v>
      </c>
      <c r="P18" s="89">
        <f t="shared" ref="P18:AB18" si="4">O18*(1+$C$6)</f>
        <v>125039688.64884657</v>
      </c>
      <c r="Q18" s="89">
        <f t="shared" si="4"/>
        <v>127540482.4218235</v>
      </c>
      <c r="R18" s="89">
        <f t="shared" si="4"/>
        <v>130091292.07025997</v>
      </c>
      <c r="S18" s="89">
        <f t="shared" si="4"/>
        <v>132693117.91166517</v>
      </c>
      <c r="T18" s="89">
        <f t="shared" si="4"/>
        <v>135346980.26989847</v>
      </c>
      <c r="U18" s="89">
        <f t="shared" si="4"/>
        <v>138053919.87529644</v>
      </c>
      <c r="V18" s="89">
        <f t="shared" si="4"/>
        <v>140814998.27280238</v>
      </c>
      <c r="W18" s="89">
        <f t="shared" si="4"/>
        <v>143631298.23825842</v>
      </c>
      <c r="X18" s="89">
        <f t="shared" si="4"/>
        <v>146503924.20302358</v>
      </c>
      <c r="Y18" s="89">
        <f t="shared" si="4"/>
        <v>149434002.68708405</v>
      </c>
      <c r="Z18" s="89">
        <f t="shared" si="4"/>
        <v>152422682.74082574</v>
      </c>
      <c r="AA18" s="89">
        <f t="shared" si="4"/>
        <v>155471136.39564225</v>
      </c>
      <c r="AB18" s="89">
        <f t="shared" si="4"/>
        <v>158580559.12355509</v>
      </c>
    </row>
    <row r="19" spans="2:28" ht="15" customHeight="1">
      <c r="B19" s="38" t="s">
        <v>29</v>
      </c>
      <c r="C19" s="67">
        <v>0</v>
      </c>
      <c r="D19" s="89">
        <v>0</v>
      </c>
      <c r="E19" s="68">
        <f t="shared" ref="E19:AB19" si="5">$C$7</f>
        <v>0</v>
      </c>
      <c r="F19" s="68">
        <f t="shared" si="5"/>
        <v>0</v>
      </c>
      <c r="G19" s="89">
        <f t="shared" si="5"/>
        <v>0</v>
      </c>
      <c r="H19" s="89">
        <f t="shared" si="5"/>
        <v>0</v>
      </c>
      <c r="I19" s="89">
        <f t="shared" si="5"/>
        <v>0</v>
      </c>
      <c r="J19" s="89">
        <f t="shared" si="5"/>
        <v>0</v>
      </c>
      <c r="K19" s="89">
        <f t="shared" si="5"/>
        <v>0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89">
        <f t="shared" si="5"/>
        <v>0</v>
      </c>
      <c r="P19" s="89">
        <f t="shared" si="5"/>
        <v>0</v>
      </c>
      <c r="Q19" s="89">
        <f t="shared" si="5"/>
        <v>0</v>
      </c>
      <c r="R19" s="89">
        <f t="shared" si="5"/>
        <v>0</v>
      </c>
      <c r="S19" s="89">
        <f t="shared" si="5"/>
        <v>0</v>
      </c>
      <c r="T19" s="89">
        <f t="shared" si="5"/>
        <v>0</v>
      </c>
      <c r="U19" s="89">
        <f t="shared" si="5"/>
        <v>0</v>
      </c>
      <c r="V19" s="89">
        <f t="shared" si="5"/>
        <v>0</v>
      </c>
      <c r="W19" s="89">
        <f t="shared" si="5"/>
        <v>0</v>
      </c>
      <c r="X19" s="89">
        <f t="shared" si="5"/>
        <v>0</v>
      </c>
      <c r="Y19" s="89">
        <f t="shared" si="5"/>
        <v>0</v>
      </c>
      <c r="Z19" s="89">
        <f t="shared" si="5"/>
        <v>0</v>
      </c>
      <c r="AA19" s="89">
        <f t="shared" si="5"/>
        <v>0</v>
      </c>
      <c r="AB19" s="89">
        <f t="shared" si="5"/>
        <v>0</v>
      </c>
    </row>
    <row r="20" spans="2:28" ht="15" customHeight="1">
      <c r="B20" s="38" t="s">
        <v>30</v>
      </c>
      <c r="C20" s="67"/>
      <c r="D20" s="69">
        <f t="shared" ref="D20:M20" si="6">1/(1+$C$10)^D15</f>
        <v>0.92592592592592582</v>
      </c>
      <c r="E20" s="70">
        <f t="shared" si="6"/>
        <v>0.85733882030178321</v>
      </c>
      <c r="F20" s="70">
        <f t="shared" si="6"/>
        <v>0.79383224102016958</v>
      </c>
      <c r="G20" s="70">
        <f t="shared" si="6"/>
        <v>0.73502985279645328</v>
      </c>
      <c r="H20" s="70">
        <f t="shared" si="6"/>
        <v>0.68058319703375303</v>
      </c>
      <c r="I20" s="70">
        <f t="shared" si="6"/>
        <v>0.63016962688310452</v>
      </c>
      <c r="J20" s="70">
        <f t="shared" si="6"/>
        <v>0.58349039526213387</v>
      </c>
      <c r="K20" s="70">
        <f t="shared" si="6"/>
        <v>0.54026888450197574</v>
      </c>
      <c r="L20" s="70">
        <f t="shared" si="6"/>
        <v>0.50024896713145905</v>
      </c>
      <c r="M20" s="70">
        <f t="shared" si="6"/>
        <v>0.46319348808468425</v>
      </c>
      <c r="N20" s="70">
        <f t="shared" ref="N20:O20" si="7">1/(1+$C$10)^N15</f>
        <v>0.42888285933767062</v>
      </c>
      <c r="O20" s="70">
        <f t="shared" si="7"/>
        <v>0.39711375864599124</v>
      </c>
      <c r="P20" s="70">
        <f t="shared" ref="P20:AB20" si="8">1/(1+$C$10)^P15</f>
        <v>0.36769792467221413</v>
      </c>
      <c r="Q20" s="70">
        <f t="shared" si="8"/>
        <v>0.34046104136316119</v>
      </c>
      <c r="R20" s="70">
        <f t="shared" si="8"/>
        <v>0.31524170496588994</v>
      </c>
      <c r="S20" s="70">
        <f t="shared" si="8"/>
        <v>0.29189046756100923</v>
      </c>
      <c r="T20" s="70">
        <f t="shared" si="8"/>
        <v>0.27026895144537894</v>
      </c>
      <c r="U20" s="70">
        <f t="shared" si="8"/>
        <v>0.25024902911609154</v>
      </c>
      <c r="V20" s="70">
        <f t="shared" si="8"/>
        <v>0.23171206399638106</v>
      </c>
      <c r="W20" s="70">
        <f t="shared" si="8"/>
        <v>0.21454820740405653</v>
      </c>
      <c r="X20" s="70">
        <f t="shared" si="8"/>
        <v>0.19865574759634863</v>
      </c>
      <c r="Y20" s="70">
        <f t="shared" si="8"/>
        <v>0.18394050703365611</v>
      </c>
      <c r="Z20" s="70">
        <f t="shared" si="8"/>
        <v>0.17031528429042234</v>
      </c>
      <c r="AA20" s="70">
        <f t="shared" si="8"/>
        <v>0.1576993373059466</v>
      </c>
      <c r="AB20" s="70">
        <f t="shared" si="8"/>
        <v>0.1460179049129135</v>
      </c>
    </row>
    <row r="21" spans="2:28" ht="15" customHeight="1">
      <c r="B21" s="57" t="s">
        <v>31</v>
      </c>
      <c r="C21" s="73">
        <f>C17</f>
        <v>1210806589</v>
      </c>
      <c r="D21" s="90">
        <f>SUM(D18:D19)*D20</f>
        <v>0</v>
      </c>
      <c r="E21" s="90">
        <f>SUM(E18:E19)*E20</f>
        <v>86218106.995884761</v>
      </c>
      <c r="F21" s="90">
        <f t="shared" ref="F21:M21" si="9">SUM(F18:F19)*F20</f>
        <v>81428212.162780046</v>
      </c>
      <c r="G21" s="90">
        <f t="shared" si="9"/>
        <v>76904422.598181158</v>
      </c>
      <c r="H21" s="90">
        <f t="shared" si="9"/>
        <v>72631954.676059991</v>
      </c>
      <c r="I21" s="90">
        <f t="shared" si="9"/>
        <v>68596846.082945526</v>
      </c>
      <c r="J21" s="90">
        <f t="shared" si="9"/>
        <v>64785910.189448558</v>
      </c>
      <c r="K21" s="90">
        <f t="shared" si="9"/>
        <v>61186692.956701413</v>
      </c>
      <c r="L21" s="90">
        <f t="shared" si="9"/>
        <v>57787432.236884668</v>
      </c>
      <c r="M21" s="90">
        <f t="shared" si="9"/>
        <v>54577019.334835522</v>
      </c>
      <c r="N21" s="90">
        <f t="shared" ref="N21:O21" si="10">SUM(N18:N19)*N20</f>
        <v>51544962.705122441</v>
      </c>
      <c r="O21" s="90">
        <f t="shared" si="10"/>
        <v>48681353.665948965</v>
      </c>
      <c r="P21" s="90">
        <f t="shared" ref="P21:AB21" si="11">SUM(P18:P19)*P20</f>
        <v>45976834.017840691</v>
      </c>
      <c r="Q21" s="90">
        <f t="shared" si="11"/>
        <v>43422565.46129398</v>
      </c>
      <c r="R21" s="90">
        <f t="shared" si="11"/>
        <v>41010200.713444315</v>
      </c>
      <c r="S21" s="90">
        <f t="shared" si="11"/>
        <v>38731856.229364075</v>
      </c>
      <c r="T21" s="90">
        <f t="shared" si="11"/>
        <v>36580086.438843854</v>
      </c>
      <c r="U21" s="90">
        <f t="shared" si="11"/>
        <v>34547859.414463624</v>
      </c>
      <c r="V21" s="90">
        <f t="shared" si="11"/>
        <v>32628533.891437873</v>
      </c>
      <c r="W21" s="90">
        <f t="shared" si="11"/>
        <v>30815837.564135768</v>
      </c>
      <c r="X21" s="90">
        <f t="shared" si="11"/>
        <v>29103846.588350445</v>
      </c>
      <c r="Y21" s="90">
        <f t="shared" si="11"/>
        <v>27486966.222330969</v>
      </c>
      <c r="Z21" s="90">
        <f t="shared" si="11"/>
        <v>25959912.543312587</v>
      </c>
      <c r="AA21" s="90">
        <f t="shared" si="11"/>
        <v>24517695.179795217</v>
      </c>
      <c r="AB21" s="90">
        <f t="shared" si="11"/>
        <v>23155601.003139924</v>
      </c>
    </row>
    <row r="22" spans="2:28" ht="15" customHeight="1">
      <c r="B22" s="76" t="s">
        <v>32</v>
      </c>
      <c r="C22" s="77">
        <f>SUM(C21:AB21)</f>
        <v>2369087297.8725462</v>
      </c>
      <c r="D22" s="91"/>
      <c r="E22" s="87"/>
      <c r="F22" s="87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</row>
    <row r="23" spans="2:28" ht="15" customHeight="1">
      <c r="B23" s="38"/>
      <c r="C23" s="51"/>
      <c r="D23" s="91"/>
      <c r="E23" s="87"/>
      <c r="F23" s="87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</row>
    <row r="24" spans="2:28" ht="15" customHeight="1">
      <c r="B24" s="38"/>
      <c r="C24" s="40"/>
      <c r="D24" s="86"/>
      <c r="E24" s="87"/>
      <c r="F24" s="88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</row>
    <row r="25" spans="2:28" ht="15" customHeight="1">
      <c r="B25" s="57" t="s">
        <v>33</v>
      </c>
      <c r="C25" s="75" t="s">
        <v>22</v>
      </c>
      <c r="D25" s="94">
        <f>+D15</f>
        <v>1</v>
      </c>
      <c r="E25" s="94">
        <f t="shared" ref="E25:AB25" si="12">D25+1</f>
        <v>2</v>
      </c>
      <c r="F25" s="94">
        <f t="shared" si="12"/>
        <v>3</v>
      </c>
      <c r="G25" s="94">
        <f t="shared" si="12"/>
        <v>4</v>
      </c>
      <c r="H25" s="94">
        <f t="shared" si="12"/>
        <v>5</v>
      </c>
      <c r="I25" s="94">
        <f t="shared" si="12"/>
        <v>6</v>
      </c>
      <c r="J25" s="94">
        <f t="shared" si="12"/>
        <v>7</v>
      </c>
      <c r="K25" s="94">
        <f t="shared" si="12"/>
        <v>8</v>
      </c>
      <c r="L25" s="94">
        <f t="shared" si="12"/>
        <v>9</v>
      </c>
      <c r="M25" s="94">
        <f t="shared" si="12"/>
        <v>10</v>
      </c>
      <c r="N25" s="94">
        <f t="shared" si="12"/>
        <v>11</v>
      </c>
      <c r="O25" s="94">
        <f t="shared" si="12"/>
        <v>12</v>
      </c>
      <c r="P25" s="94">
        <f t="shared" si="12"/>
        <v>13</v>
      </c>
      <c r="Q25" s="94">
        <f t="shared" si="12"/>
        <v>14</v>
      </c>
      <c r="R25" s="94">
        <f t="shared" si="12"/>
        <v>15</v>
      </c>
      <c r="S25" s="94">
        <f t="shared" si="12"/>
        <v>16</v>
      </c>
      <c r="T25" s="94">
        <f t="shared" si="12"/>
        <v>17</v>
      </c>
      <c r="U25" s="94">
        <f t="shared" si="12"/>
        <v>18</v>
      </c>
      <c r="V25" s="94">
        <f t="shared" si="12"/>
        <v>19</v>
      </c>
      <c r="W25" s="94">
        <f t="shared" si="12"/>
        <v>20</v>
      </c>
      <c r="X25" s="94">
        <f t="shared" si="12"/>
        <v>21</v>
      </c>
      <c r="Y25" s="94">
        <f t="shared" si="12"/>
        <v>22</v>
      </c>
      <c r="Z25" s="94">
        <f t="shared" si="12"/>
        <v>23</v>
      </c>
      <c r="AA25" s="94">
        <f t="shared" si="12"/>
        <v>24</v>
      </c>
      <c r="AB25" s="94">
        <f t="shared" si="12"/>
        <v>25</v>
      </c>
    </row>
    <row r="26" spans="2:28" ht="15" customHeight="1">
      <c r="B26" s="38" t="s">
        <v>34</v>
      </c>
      <c r="C26" s="67">
        <v>0</v>
      </c>
      <c r="D26" s="89">
        <v>0</v>
      </c>
      <c r="E26" s="89">
        <f>C8</f>
        <v>3504000000</v>
      </c>
      <c r="F26" s="89">
        <f>E26</f>
        <v>3504000000</v>
      </c>
      <c r="G26" s="89">
        <f t="shared" ref="G26:AB26" si="13">F26</f>
        <v>3504000000</v>
      </c>
      <c r="H26" s="89">
        <f t="shared" si="13"/>
        <v>3504000000</v>
      </c>
      <c r="I26" s="89">
        <f t="shared" si="13"/>
        <v>3504000000</v>
      </c>
      <c r="J26" s="89">
        <f t="shared" si="13"/>
        <v>3504000000</v>
      </c>
      <c r="K26" s="89">
        <f t="shared" si="13"/>
        <v>3504000000</v>
      </c>
      <c r="L26" s="89">
        <f t="shared" si="13"/>
        <v>3504000000</v>
      </c>
      <c r="M26" s="89">
        <f t="shared" si="13"/>
        <v>3504000000</v>
      </c>
      <c r="N26" s="89">
        <f t="shared" si="13"/>
        <v>3504000000</v>
      </c>
      <c r="O26" s="89">
        <f t="shared" si="13"/>
        <v>3504000000</v>
      </c>
      <c r="P26" s="89">
        <f t="shared" si="13"/>
        <v>3504000000</v>
      </c>
      <c r="Q26" s="89">
        <f t="shared" si="13"/>
        <v>3504000000</v>
      </c>
      <c r="R26" s="89">
        <f t="shared" si="13"/>
        <v>3504000000</v>
      </c>
      <c r="S26" s="89">
        <f t="shared" si="13"/>
        <v>3504000000</v>
      </c>
      <c r="T26" s="89">
        <f t="shared" si="13"/>
        <v>3504000000</v>
      </c>
      <c r="U26" s="89">
        <f t="shared" si="13"/>
        <v>3504000000</v>
      </c>
      <c r="V26" s="89">
        <f t="shared" si="13"/>
        <v>3504000000</v>
      </c>
      <c r="W26" s="89">
        <f t="shared" si="13"/>
        <v>3504000000</v>
      </c>
      <c r="X26" s="89">
        <f t="shared" si="13"/>
        <v>3504000000</v>
      </c>
      <c r="Y26" s="89">
        <f t="shared" si="13"/>
        <v>3504000000</v>
      </c>
      <c r="Z26" s="89">
        <f t="shared" si="13"/>
        <v>3504000000</v>
      </c>
      <c r="AA26" s="89">
        <f t="shared" si="13"/>
        <v>3504000000</v>
      </c>
      <c r="AB26" s="89">
        <f t="shared" si="13"/>
        <v>3504000000</v>
      </c>
    </row>
    <row r="27" spans="2:28" ht="15" customHeight="1">
      <c r="B27" s="57" t="s">
        <v>30</v>
      </c>
      <c r="C27" s="71">
        <v>0</v>
      </c>
      <c r="D27" s="72">
        <f t="shared" ref="D27:M27" si="14">1/(1+$C$10)^D25</f>
        <v>0.92592592592592582</v>
      </c>
      <c r="E27" s="72">
        <f t="shared" si="14"/>
        <v>0.85733882030178321</v>
      </c>
      <c r="F27" s="71">
        <f t="shared" si="14"/>
        <v>0.79383224102016958</v>
      </c>
      <c r="G27" s="72">
        <f t="shared" si="14"/>
        <v>0.73502985279645328</v>
      </c>
      <c r="H27" s="72">
        <f t="shared" si="14"/>
        <v>0.68058319703375303</v>
      </c>
      <c r="I27" s="71">
        <f t="shared" si="14"/>
        <v>0.63016962688310452</v>
      </c>
      <c r="J27" s="72">
        <f t="shared" si="14"/>
        <v>0.58349039526213387</v>
      </c>
      <c r="K27" s="72">
        <f t="shared" si="14"/>
        <v>0.54026888450197574</v>
      </c>
      <c r="L27" s="71">
        <f t="shared" si="14"/>
        <v>0.50024896713145905</v>
      </c>
      <c r="M27" s="72">
        <f t="shared" si="14"/>
        <v>0.46319348808468425</v>
      </c>
      <c r="N27" s="72">
        <f t="shared" ref="N27:O27" si="15">1/(1+$C$10)^N25</f>
        <v>0.42888285933767062</v>
      </c>
      <c r="O27" s="72">
        <f t="shared" si="15"/>
        <v>0.39711375864599124</v>
      </c>
      <c r="P27" s="72">
        <f t="shared" ref="P27:AB27" si="16">1/(1+$C$10)^P25</f>
        <v>0.36769792467221413</v>
      </c>
      <c r="Q27" s="72">
        <f t="shared" si="16"/>
        <v>0.34046104136316119</v>
      </c>
      <c r="R27" s="72">
        <f t="shared" si="16"/>
        <v>0.31524170496588994</v>
      </c>
      <c r="S27" s="72">
        <f t="shared" si="16"/>
        <v>0.29189046756100923</v>
      </c>
      <c r="T27" s="72">
        <f t="shared" si="16"/>
        <v>0.27026895144537894</v>
      </c>
      <c r="U27" s="72">
        <f t="shared" si="16"/>
        <v>0.25024902911609154</v>
      </c>
      <c r="V27" s="72">
        <f t="shared" si="16"/>
        <v>0.23171206399638106</v>
      </c>
      <c r="W27" s="72">
        <f t="shared" si="16"/>
        <v>0.21454820740405653</v>
      </c>
      <c r="X27" s="72">
        <f t="shared" si="16"/>
        <v>0.19865574759634863</v>
      </c>
      <c r="Y27" s="72">
        <f t="shared" si="16"/>
        <v>0.18394050703365611</v>
      </c>
      <c r="Z27" s="72">
        <f t="shared" si="16"/>
        <v>0.17031528429042234</v>
      </c>
      <c r="AA27" s="72">
        <f t="shared" si="16"/>
        <v>0.1576993373059466</v>
      </c>
      <c r="AB27" s="72">
        <f t="shared" si="16"/>
        <v>0.1460179049129135</v>
      </c>
    </row>
    <row r="28" spans="2:28" ht="15" customHeight="1">
      <c r="B28" s="57" t="s">
        <v>31</v>
      </c>
      <c r="C28" s="73">
        <f>C26</f>
        <v>0</v>
      </c>
      <c r="D28" s="90">
        <f>D26*D27</f>
        <v>0</v>
      </c>
      <c r="E28" s="90">
        <f>E26*E27</f>
        <v>3004115226.3374486</v>
      </c>
      <c r="F28" s="90">
        <f t="shared" ref="F28:M28" si="17">F26*F27</f>
        <v>2781588172.5346742</v>
      </c>
      <c r="G28" s="90">
        <f t="shared" si="17"/>
        <v>2575544604.1987724</v>
      </c>
      <c r="H28" s="90">
        <f t="shared" si="17"/>
        <v>2384763522.4062705</v>
      </c>
      <c r="I28" s="90">
        <f t="shared" si="17"/>
        <v>2208114372.5983982</v>
      </c>
      <c r="J28" s="90">
        <f t="shared" si="17"/>
        <v>2044550344.998517</v>
      </c>
      <c r="K28" s="90">
        <f t="shared" si="17"/>
        <v>1893102171.2949231</v>
      </c>
      <c r="L28" s="90">
        <f t="shared" si="17"/>
        <v>1752872380.8286326</v>
      </c>
      <c r="M28" s="90">
        <f t="shared" si="17"/>
        <v>1623029982.2487335</v>
      </c>
      <c r="N28" s="90">
        <f t="shared" ref="N28:O28" si="18">N26*N27</f>
        <v>1502805539.1191978</v>
      </c>
      <c r="O28" s="90">
        <f t="shared" si="18"/>
        <v>1391486610.2955532</v>
      </c>
      <c r="P28" s="90">
        <f t="shared" ref="P28:AB28" si="19">P26*P27</f>
        <v>1288413528.0514383</v>
      </c>
      <c r="Q28" s="90">
        <f t="shared" si="19"/>
        <v>1192975488.9365168</v>
      </c>
      <c r="R28" s="90">
        <f t="shared" si="19"/>
        <v>1104606934.2004783</v>
      </c>
      <c r="S28" s="90">
        <f t="shared" si="19"/>
        <v>1022784198.3337764</v>
      </c>
      <c r="T28" s="90">
        <f t="shared" si="19"/>
        <v>947022405.86460781</v>
      </c>
      <c r="U28" s="90">
        <f t="shared" si="19"/>
        <v>876872598.02278471</v>
      </c>
      <c r="V28" s="90">
        <f t="shared" si="19"/>
        <v>811919072.24331927</v>
      </c>
      <c r="W28" s="90">
        <f t="shared" si="19"/>
        <v>751776918.74381411</v>
      </c>
      <c r="X28" s="90">
        <f t="shared" si="19"/>
        <v>696089739.57760561</v>
      </c>
      <c r="Y28" s="90">
        <f t="shared" si="19"/>
        <v>644527536.64593101</v>
      </c>
      <c r="Z28" s="90">
        <f t="shared" si="19"/>
        <v>596784756.15363991</v>
      </c>
      <c r="AA28" s="90">
        <f t="shared" si="19"/>
        <v>552578477.92003691</v>
      </c>
      <c r="AB28" s="90">
        <f t="shared" si="19"/>
        <v>511646738.8148489</v>
      </c>
    </row>
    <row r="29" spans="2:28" ht="15" customHeight="1">
      <c r="B29" s="76" t="s">
        <v>35</v>
      </c>
      <c r="C29" s="78">
        <f>SUM(C28:AB28)</f>
        <v>34159971320.369919</v>
      </c>
      <c r="D29" s="86"/>
      <c r="E29" s="95"/>
      <c r="F29" s="88"/>
      <c r="G29" s="95"/>
      <c r="H29" s="95"/>
      <c r="I29" s="95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</row>
    <row r="30" spans="2:28" ht="15" customHeight="1">
      <c r="B30" s="38"/>
      <c r="C30" s="40"/>
      <c r="D30" s="86"/>
      <c r="E30" s="87"/>
      <c r="F30" s="88"/>
      <c r="G30" s="95"/>
      <c r="H30" s="95"/>
      <c r="I30" s="95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</row>
    <row r="31" spans="2:28" ht="15" customHeight="1">
      <c r="B31" s="38"/>
      <c r="C31" s="40"/>
      <c r="D31" s="86"/>
      <c r="E31" s="87"/>
      <c r="F31" s="88"/>
      <c r="G31" s="95"/>
      <c r="H31" s="95"/>
      <c r="I31" s="95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</row>
    <row r="32" spans="2:28" ht="15" customHeight="1">
      <c r="B32" s="74" t="s">
        <v>36</v>
      </c>
      <c r="C32" s="79">
        <f>C22/C29</f>
        <v>6.9352730880656119E-2</v>
      </c>
      <c r="D32" s="91"/>
      <c r="E32" s="87"/>
      <c r="F32" s="87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</row>
    <row r="33" spans="1:28" ht="15" customHeight="1">
      <c r="A33" s="36"/>
      <c r="B33" s="50"/>
      <c r="C33" s="98"/>
      <c r="D33" s="87"/>
      <c r="E33" s="87"/>
      <c r="F33" s="92"/>
      <c r="G33" s="97"/>
      <c r="H33" s="97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</row>
    <row r="34" spans="1:28" ht="15" customHeight="1">
      <c r="A34" s="36"/>
      <c r="B34" s="50"/>
      <c r="C34" s="37"/>
      <c r="D34" s="62"/>
      <c r="E34" s="38"/>
      <c r="F34" s="39"/>
      <c r="G34" s="41"/>
      <c r="H34" s="41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1:28" ht="15" customHeight="1">
      <c r="A35" s="36"/>
      <c r="B35" s="50"/>
      <c r="C35" s="37"/>
      <c r="D35" s="62"/>
      <c r="E35" s="38"/>
      <c r="F35" s="39"/>
      <c r="G35" s="41"/>
      <c r="H35" s="41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</row>
    <row r="36" spans="1:28" ht="15" customHeight="1"/>
    <row r="37" spans="1:28" ht="15" customHeight="1">
      <c r="G37">
        <v>14.7</v>
      </c>
    </row>
    <row r="38" spans="1:28" ht="15" customHeight="1"/>
    <row r="39" spans="1:28" ht="15" customHeight="1"/>
    <row r="40" spans="1:28" ht="15" customHeight="1"/>
    <row r="41" spans="1:28" ht="15" customHeight="1"/>
    <row r="42" spans="1:28" ht="15" customHeight="1"/>
    <row r="43" spans="1:28" ht="15" customHeight="1"/>
    <row r="44" spans="1:28" ht="15" customHeight="1"/>
    <row r="45" spans="1:28" ht="15" customHeight="1"/>
    <row r="46" spans="1:28" ht="15" customHeight="1"/>
    <row r="49" spans="2:28"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</row>
    <row r="50" spans="2:28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Cover Page</vt:lpstr>
      <vt:lpstr>Levelized Cost of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Powell</dc:creator>
  <cp:lastModifiedBy>Пользователь</cp:lastModifiedBy>
  <dcterms:created xsi:type="dcterms:W3CDTF">2022-12-08T21:45:05Z</dcterms:created>
  <dcterms:modified xsi:type="dcterms:W3CDTF">2023-10-02T06:25:05Z</dcterms:modified>
</cp:coreProperties>
</file>