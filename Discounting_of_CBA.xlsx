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<sst xmlns="http://schemas.openxmlformats.org/spreadsheetml/2006/main" count="70" uniqueCount="37">
  <si>
    <t>Horizaon of the Project (years)</t>
  </si>
  <si>
    <t>Discounting rate</t>
  </si>
  <si>
    <t>Years of the project</t>
  </si>
  <si>
    <t>Annuities</t>
  </si>
  <si>
    <t>Annual Values</t>
  </si>
  <si>
    <t>Total Present Value Over the Horizon of the Project</t>
  </si>
  <si>
    <t>Lease of land offshore (One year)</t>
  </si>
  <si>
    <t>Operation and maintenance (One year)</t>
  </si>
  <si>
    <t>Revenue from electricity generation (One year)</t>
  </si>
  <si>
    <t>Social Cost of Carbon (One year)</t>
  </si>
  <si>
    <t>Life Saved (One year)</t>
  </si>
  <si>
    <t>Lease of land onshore (One year)</t>
  </si>
  <si>
    <t>Terminal Impacts</t>
  </si>
  <si>
    <t>As per current prices</t>
  </si>
  <si>
    <t>Present value at the end of the horizon of the project</t>
  </si>
  <si>
    <t>Decommissioning cost (At the end of the project’s horizon)</t>
  </si>
  <si>
    <t>Scrap value of equipment and materials (At the end of the project’s horizon)</t>
  </si>
  <si>
    <t>The best case scenario</t>
  </si>
  <si>
    <t>The worst case scenario</t>
  </si>
  <si>
    <t>Costs</t>
  </si>
  <si>
    <t>Present Value</t>
  </si>
  <si>
    <t>Benefits</t>
  </si>
  <si>
    <t>Monetary value</t>
  </si>
  <si>
    <t>Construction costs</t>
  </si>
  <si>
    <t>Wind turbines, its substructure and foundation</t>
  </si>
  <si>
    <t>Cost of land</t>
  </si>
  <si>
    <t>Revenue from electricity generation</t>
  </si>
  <si>
    <t>Operation and maintenance</t>
  </si>
  <si>
    <t>Social Cost of Carbon</t>
  </si>
  <si>
    <t>Scrap value of equipment and materials at the end of the project</t>
  </si>
  <si>
    <t>Total</t>
  </si>
  <si>
    <t>IRR</t>
  </si>
  <si>
    <t>discount rate</t>
  </si>
  <si>
    <t>Best Case</t>
  </si>
  <si>
    <t>Worse Case</t>
  </si>
  <si>
    <t>Provincial perspective</t>
  </si>
  <si>
    <t>Revenue from electricity generation (conditional)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</si>
</sst>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sz val="12.0"/>
      <color rgb="FF1E1F2A"/>
      <name val="&quot;Times New Roman&quot;"/>
    </font>
    <font>
      <sz val="12.0"/>
      <color rgb="FF1E1F2A"/>
      <name val="&quot;Times New Roman&quot;"/>
    </font>
    <font>
      <color theme="1"/>
      <name val="Arial"/>
      <scheme val="minor"/>
    </font>
    <font>
      <sz val="12.0"/>
      <color rgb="FF333333"/>
      <name val="&quot;Times New Roman&quot;"/>
    </font>
    <font>
      <b/>
      <sz val="12.0"/>
      <color rgb="FF333333"/>
      <name val="&quot;Times New Roman&quot;"/>
    </font>
    <font>
      <b/>
      <sz val="9.0"/>
      <color rgb="FF1E1F2A"/>
      <name val="&quot;Times New Roman&quot;"/>
    </font>
    <font>
      <sz val="9.0"/>
      <color rgb="FF1E1F2A"/>
      <name val="&quot;Times New Roman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1" fillId="2" fontId="3" numFmtId="0" xfId="0" applyAlignment="1" applyBorder="1" applyFill="1" applyFont="1">
      <alignment horizontal="left" readingOrder="0" shrinkToFit="0" wrapText="1"/>
    </xf>
    <xf borderId="1" fillId="2" fontId="4" numFmtId="0" xfId="0" applyAlignment="1" applyBorder="1" applyFont="1">
      <alignment horizontal="left" readingOrder="0" shrinkToFit="0" wrapText="1"/>
    </xf>
    <xf borderId="1" fillId="2" fontId="3" numFmtId="3" xfId="0" applyAlignment="1" applyBorder="1" applyFont="1" applyNumberFormat="1">
      <alignment horizontal="left" readingOrder="0" shrinkToFit="0" wrapText="1"/>
    </xf>
    <xf borderId="1" fillId="0" fontId="5" numFmtId="0" xfId="0" applyBorder="1" applyFont="1"/>
    <xf borderId="1" fillId="0" fontId="1" numFmtId="0" xfId="0" applyBorder="1" applyFont="1"/>
    <xf borderId="0" fillId="2" fontId="6" numFmtId="3" xfId="0" applyAlignment="1" applyFont="1" applyNumberFormat="1">
      <alignment readingOrder="0"/>
    </xf>
    <xf borderId="1" fillId="2" fontId="3" numFmtId="0" xfId="0" applyAlignment="1" applyBorder="1" applyFont="1">
      <alignment readingOrder="0"/>
    </xf>
    <xf borderId="1" fillId="2" fontId="7" numFmtId="3" xfId="0" applyAlignment="1" applyBorder="1" applyFont="1" applyNumberFormat="1">
      <alignment horizontal="left" readingOrder="0" shrinkToFit="0" wrapText="1"/>
    </xf>
    <xf borderId="2" fillId="3" fontId="8" numFmtId="0" xfId="0" applyAlignment="1" applyBorder="1" applyFill="1" applyFont="1">
      <alignment horizontal="center" readingOrder="0" shrinkToFit="0" wrapText="1"/>
    </xf>
    <xf borderId="2" fillId="4" fontId="8" numFmtId="0" xfId="0" applyAlignment="1" applyBorder="1" applyFill="1" applyFont="1">
      <alignment horizontal="center" readingOrder="0" shrinkToFit="0" wrapText="1"/>
    </xf>
    <xf borderId="1" fillId="3" fontId="8" numFmtId="0" xfId="0" applyAlignment="1" applyBorder="1" applyFont="1">
      <alignment horizontal="left" readingOrder="0" shrinkToFit="0" wrapText="1"/>
    </xf>
    <xf borderId="1" fillId="4" fontId="8" numFmtId="0" xfId="0" applyAlignment="1" applyBorder="1" applyFont="1">
      <alignment horizontal="left" readingOrder="0" shrinkToFit="0" wrapText="1"/>
    </xf>
    <xf borderId="1" fillId="3" fontId="9" numFmtId="0" xfId="0" applyAlignment="1" applyBorder="1" applyFont="1">
      <alignment horizontal="left" readingOrder="0" shrinkToFit="0" wrapText="1"/>
    </xf>
    <xf borderId="1" fillId="3" fontId="9" numFmtId="3" xfId="0" applyAlignment="1" applyBorder="1" applyFont="1" applyNumberFormat="1">
      <alignment horizontal="left" readingOrder="0" shrinkToFit="0" wrapText="1"/>
    </xf>
    <xf borderId="1" fillId="3" fontId="5" numFmtId="0" xfId="0" applyAlignment="1" applyBorder="1" applyFont="1">
      <alignment horizontal="left" shrinkToFit="0" vertical="top" wrapText="1"/>
    </xf>
    <xf borderId="1" fillId="4" fontId="9" numFmtId="0" xfId="0" applyAlignment="1" applyBorder="1" applyFont="1">
      <alignment horizontal="left" readingOrder="0" shrinkToFit="0" wrapText="1"/>
    </xf>
    <xf borderId="1" fillId="4" fontId="9" numFmtId="3" xfId="0" applyAlignment="1" applyBorder="1" applyFont="1" applyNumberFormat="1">
      <alignment horizontal="left" readingOrder="0" shrinkToFit="0" wrapText="1"/>
    </xf>
    <xf borderId="1" fillId="4" fontId="5" numFmtId="0" xfId="0" applyAlignment="1" applyBorder="1" applyFont="1">
      <alignment horizontal="left" shrinkToFit="0" vertical="top" wrapText="1"/>
    </xf>
    <xf borderId="1" fillId="3" fontId="9" numFmtId="3" xfId="0" applyAlignment="1" applyBorder="1" applyFont="1" applyNumberFormat="1">
      <alignment horizontal="right" readingOrder="0" shrinkToFit="0" wrapText="1"/>
    </xf>
    <xf borderId="1" fillId="4" fontId="9" numFmtId="3" xfId="0" applyAlignment="1" applyBorder="1" applyFont="1" applyNumberFormat="1">
      <alignment horizontal="right" readingOrder="0" shrinkToFit="0" wrapText="1"/>
    </xf>
    <xf borderId="1" fillId="5" fontId="9" numFmtId="3" xfId="0" applyAlignment="1" applyBorder="1" applyFill="1" applyFont="1" applyNumberFormat="1">
      <alignment horizontal="left" readingOrder="0" shrinkToFit="0" wrapText="1"/>
    </xf>
    <xf borderId="1" fillId="3" fontId="5" numFmtId="0" xfId="0" applyAlignment="1" applyBorder="1" applyFont="1">
      <alignment horizontal="left" readingOrder="0" shrinkToFit="0" vertical="top" wrapText="1"/>
    </xf>
    <xf borderId="1" fillId="3" fontId="8" numFmtId="3" xfId="0" applyAlignment="1" applyBorder="1" applyFont="1" applyNumberFormat="1">
      <alignment horizontal="right" readingOrder="0" shrinkToFit="0" wrapText="1"/>
    </xf>
    <xf borderId="1" fillId="3" fontId="8" numFmtId="3" xfId="0" applyAlignment="1" applyBorder="1" applyFont="1" applyNumberFormat="1">
      <alignment horizontal="left" readingOrder="0" shrinkToFit="0" wrapText="1"/>
    </xf>
    <xf borderId="1" fillId="4" fontId="8" numFmtId="3" xfId="0" applyAlignment="1" applyBorder="1" applyFont="1" applyNumberFormat="1">
      <alignment horizontal="right" readingOrder="0" shrinkToFit="0" wrapText="1"/>
    </xf>
    <xf borderId="1" fillId="4" fontId="8" numFmtId="3" xfId="0" applyAlignment="1" applyBorder="1" applyFont="1" applyNumberFormat="1">
      <alignment horizontal="left" readingOrder="0" shrinkToFit="0" wrapText="1"/>
    </xf>
    <xf borderId="0" fillId="0" fontId="5" numFmtId="0" xfId="0" applyAlignment="1" applyFont="1">
      <alignment readingOrder="0"/>
    </xf>
    <xf borderId="1" fillId="5" fontId="9" numFmtId="3" xfId="0" applyAlignment="1" applyBorder="1" applyFont="1" applyNumberFormat="1">
      <alignment horizontal="right" readingOrder="0" shrinkToFit="0" wrapText="1"/>
    </xf>
    <xf borderId="0" fillId="0" fontId="5" numFmtId="3" xfId="0" applyFont="1" applyNumberFormat="1"/>
    <xf borderId="0" fillId="2" fontId="7" numFmtId="3" xfId="0" applyAlignment="1" applyFont="1" applyNumberForma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Arial black"/>
              </a:defRPr>
            </a:pPr>
            <a:r>
              <a:rPr b="0" sz="1400">
                <a:solidFill>
                  <a:srgbClr val="757575"/>
                </a:solidFill>
                <a:latin typeface="Arial black"/>
              </a:rPr>
              <a:t>Internal Rate of Return</a:t>
            </a:r>
          </a:p>
        </c:rich>
      </c:tx>
      <c:overlay val="0"/>
    </c:title>
    <c:plotArea>
      <c:layout/>
      <c:lineChart>
        <c:ser>
          <c:idx val="0"/>
          <c:order val="0"/>
          <c:tx>
            <c:v>Best Case Scenario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Sheet1!$B$25:$B$33</c:f>
            </c:strRef>
          </c:cat>
          <c:val>
            <c:numRef>
              <c:f>Sheet1!$C$25:$C$33</c:f>
              <c:numCache/>
            </c:numRef>
          </c:val>
          <c:smooth val="0"/>
        </c:ser>
        <c:ser>
          <c:idx val="1"/>
          <c:order val="1"/>
          <c:tx>
            <c:v>Worst Case Scenario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Sheet1!$B$25:$B$33</c:f>
            </c:strRef>
          </c:cat>
          <c:val>
            <c:numRef>
              <c:f>Sheet1!$D$25:$D$33</c:f>
              <c:numCache/>
            </c:numRef>
          </c:val>
          <c:smooth val="0"/>
        </c:ser>
        <c:axId val="396272546"/>
        <c:axId val="1188314882"/>
      </c:lineChart>
      <c:catAx>
        <c:axId val="396272546"/>
        <c:scaling>
          <c:orientation val="minMax"/>
          <c:max val="2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88314882"/>
      </c:catAx>
      <c:valAx>
        <c:axId val="11883148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2725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828675</xdr:colOff>
      <xdr:row>23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14.0"/>
  </cols>
  <sheetData>
    <row r="1" ht="27.0" customHeight="1">
      <c r="C1" s="1" t="s">
        <v>0</v>
      </c>
      <c r="D1" s="2">
        <v>25.0</v>
      </c>
    </row>
    <row r="2" ht="27.75" customHeight="1">
      <c r="C2" s="1" t="s">
        <v>1</v>
      </c>
      <c r="D2" s="2">
        <v>0.035</v>
      </c>
    </row>
    <row r="3"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D4" s="4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/>
    </row>
    <row r="5">
      <c r="B5" s="7" t="s">
        <v>3</v>
      </c>
      <c r="C5" s="7" t="s">
        <v>4</v>
      </c>
      <c r="D5" s="8">
        <v>1.0</v>
      </c>
      <c r="E5" s="8">
        <v>2.0</v>
      </c>
      <c r="F5" s="8">
        <v>3.0</v>
      </c>
      <c r="G5" s="8">
        <v>4.0</v>
      </c>
      <c r="H5" s="8">
        <v>5.0</v>
      </c>
      <c r="I5" s="8">
        <v>6.0</v>
      </c>
      <c r="J5" s="8">
        <v>7.0</v>
      </c>
      <c r="K5" s="8">
        <v>8.0</v>
      </c>
      <c r="L5" s="8">
        <v>9.0</v>
      </c>
      <c r="M5" s="8">
        <v>10.0</v>
      </c>
      <c r="N5" s="8">
        <v>11.0</v>
      </c>
      <c r="O5" s="8">
        <v>12.0</v>
      </c>
      <c r="P5" s="8">
        <v>13.0</v>
      </c>
      <c r="Q5" s="8">
        <v>14.0</v>
      </c>
      <c r="R5" s="8">
        <v>15.0</v>
      </c>
      <c r="S5" s="8">
        <v>16.0</v>
      </c>
      <c r="T5" s="8">
        <v>17.0</v>
      </c>
      <c r="U5" s="8">
        <v>18.0</v>
      </c>
      <c r="V5" s="8">
        <v>19.0</v>
      </c>
      <c r="W5" s="8">
        <v>20.0</v>
      </c>
      <c r="X5" s="8">
        <v>21.0</v>
      </c>
      <c r="Y5" s="8">
        <v>22.0</v>
      </c>
      <c r="Z5" s="8">
        <v>23.0</v>
      </c>
      <c r="AA5" s="8">
        <v>24.0</v>
      </c>
      <c r="AB5" s="8">
        <v>25.0</v>
      </c>
      <c r="AC5" s="7" t="s">
        <v>5</v>
      </c>
    </row>
    <row r="6">
      <c r="B6" s="7" t="s">
        <v>6</v>
      </c>
      <c r="C6" s="9">
        <v>426030.0</v>
      </c>
      <c r="D6" s="10">
        <f t="shared" ref="D6:AB6" si="1">$C6/(1+$D$2)^D$5</f>
        <v>411623.1884</v>
      </c>
      <c r="E6" s="10">
        <f t="shared" si="1"/>
        <v>397703.5637</v>
      </c>
      <c r="F6" s="10">
        <f t="shared" si="1"/>
        <v>384254.6509</v>
      </c>
      <c r="G6" s="10">
        <f t="shared" si="1"/>
        <v>371260.5323</v>
      </c>
      <c r="H6" s="10">
        <f t="shared" si="1"/>
        <v>358705.8283</v>
      </c>
      <c r="I6" s="10">
        <f t="shared" si="1"/>
        <v>346575.6795</v>
      </c>
      <c r="J6" s="10">
        <f t="shared" si="1"/>
        <v>334855.729</v>
      </c>
      <c r="K6" s="10">
        <f t="shared" si="1"/>
        <v>323532.1053</v>
      </c>
      <c r="L6" s="10">
        <f t="shared" si="1"/>
        <v>312591.4061</v>
      </c>
      <c r="M6" s="10">
        <f t="shared" si="1"/>
        <v>302020.6822</v>
      </c>
      <c r="N6" s="10">
        <f t="shared" si="1"/>
        <v>291807.4224</v>
      </c>
      <c r="O6" s="10">
        <f t="shared" si="1"/>
        <v>281939.5386</v>
      </c>
      <c r="P6" s="10">
        <f t="shared" si="1"/>
        <v>272405.3513</v>
      </c>
      <c r="Q6" s="10">
        <f t="shared" si="1"/>
        <v>263193.5761</v>
      </c>
      <c r="R6" s="10">
        <f t="shared" si="1"/>
        <v>254293.3103</v>
      </c>
      <c r="S6" s="10">
        <f t="shared" si="1"/>
        <v>245694.0196</v>
      </c>
      <c r="T6" s="10">
        <f t="shared" si="1"/>
        <v>237385.5262</v>
      </c>
      <c r="U6" s="10">
        <f t="shared" si="1"/>
        <v>229357.9963</v>
      </c>
      <c r="V6" s="10">
        <f t="shared" si="1"/>
        <v>221601.9288</v>
      </c>
      <c r="W6" s="10">
        <f t="shared" si="1"/>
        <v>214108.1437</v>
      </c>
      <c r="X6" s="10">
        <f t="shared" si="1"/>
        <v>206867.7717</v>
      </c>
      <c r="Y6" s="10">
        <f t="shared" si="1"/>
        <v>199872.2432</v>
      </c>
      <c r="Z6" s="10">
        <f t="shared" si="1"/>
        <v>193113.2785</v>
      </c>
      <c r="AA6" s="10">
        <f t="shared" si="1"/>
        <v>186582.8778</v>
      </c>
      <c r="AB6" s="10">
        <f t="shared" si="1"/>
        <v>180273.3118</v>
      </c>
      <c r="AC6" s="11">
        <f t="shared" ref="AC6:AC11" si="3">SUM(D6:AB6)</f>
        <v>7021619.662</v>
      </c>
    </row>
    <row r="7">
      <c r="B7" s="7" t="s">
        <v>7</v>
      </c>
      <c r="C7" s="9">
        <v>2.2052196E7</v>
      </c>
      <c r="D7" s="10">
        <f t="shared" ref="D7:AB7" si="2">$C7/(1+$D$2)^D$5</f>
        <v>21306469.57</v>
      </c>
      <c r="E7" s="10">
        <f t="shared" si="2"/>
        <v>20585960.93</v>
      </c>
      <c r="F7" s="10">
        <f t="shared" si="2"/>
        <v>19889817.33</v>
      </c>
      <c r="G7" s="10">
        <f t="shared" si="2"/>
        <v>19217214.81</v>
      </c>
      <c r="H7" s="10">
        <f t="shared" si="2"/>
        <v>18567357.3</v>
      </c>
      <c r="I7" s="10">
        <f t="shared" si="2"/>
        <v>17939475.65</v>
      </c>
      <c r="J7" s="10">
        <f t="shared" si="2"/>
        <v>17332826.72</v>
      </c>
      <c r="K7" s="10">
        <f t="shared" si="2"/>
        <v>16746692.48</v>
      </c>
      <c r="L7" s="10">
        <f t="shared" si="2"/>
        <v>16180379.21</v>
      </c>
      <c r="M7" s="10">
        <f t="shared" si="2"/>
        <v>15633216.63</v>
      </c>
      <c r="N7" s="10">
        <f t="shared" si="2"/>
        <v>15104557.13</v>
      </c>
      <c r="O7" s="10">
        <f t="shared" si="2"/>
        <v>14593775</v>
      </c>
      <c r="P7" s="10">
        <f t="shared" si="2"/>
        <v>14100265.7</v>
      </c>
      <c r="Q7" s="10">
        <f t="shared" si="2"/>
        <v>13623445.12</v>
      </c>
      <c r="R7" s="10">
        <f t="shared" si="2"/>
        <v>13162748.91</v>
      </c>
      <c r="S7" s="10">
        <f t="shared" si="2"/>
        <v>12717631.8</v>
      </c>
      <c r="T7" s="10">
        <f t="shared" si="2"/>
        <v>12287566.96</v>
      </c>
      <c r="U7" s="10">
        <f t="shared" si="2"/>
        <v>11872045.37</v>
      </c>
      <c r="V7" s="10">
        <f t="shared" si="2"/>
        <v>11470575.23</v>
      </c>
      <c r="W7" s="10">
        <f t="shared" si="2"/>
        <v>11082681.39</v>
      </c>
      <c r="X7" s="10">
        <f t="shared" si="2"/>
        <v>10707904.72</v>
      </c>
      <c r="Y7" s="10">
        <f t="shared" si="2"/>
        <v>10345801.66</v>
      </c>
      <c r="Z7" s="10">
        <f t="shared" si="2"/>
        <v>9995943.636</v>
      </c>
      <c r="AA7" s="10">
        <f t="shared" si="2"/>
        <v>9657916.556</v>
      </c>
      <c r="AB7" s="10">
        <f t="shared" si="2"/>
        <v>9331320.344</v>
      </c>
      <c r="AC7" s="11">
        <f t="shared" si="3"/>
        <v>363453590.2</v>
      </c>
    </row>
    <row r="8">
      <c r="B8" s="7" t="s">
        <v>8</v>
      </c>
      <c r="C8" s="9">
        <v>2.61389189E8</v>
      </c>
      <c r="D8" s="10">
        <f t="shared" ref="D8:AB8" si="4">$C8/(1+$D$2)^D$5</f>
        <v>252549941.1</v>
      </c>
      <c r="E8" s="10">
        <f t="shared" si="4"/>
        <v>244009604.9</v>
      </c>
      <c r="F8" s="10">
        <f t="shared" si="4"/>
        <v>235758072.4</v>
      </c>
      <c r="G8" s="10">
        <f t="shared" si="4"/>
        <v>227785577.2</v>
      </c>
      <c r="H8" s="10">
        <f t="shared" si="4"/>
        <v>220082683.2</v>
      </c>
      <c r="I8" s="10">
        <f t="shared" si="4"/>
        <v>212640273.7</v>
      </c>
      <c r="J8" s="10">
        <f t="shared" si="4"/>
        <v>205449539.8</v>
      </c>
      <c r="K8" s="10">
        <f t="shared" si="4"/>
        <v>198501970.8</v>
      </c>
      <c r="L8" s="10">
        <f t="shared" si="4"/>
        <v>191789343.8</v>
      </c>
      <c r="M8" s="10">
        <f t="shared" si="4"/>
        <v>185303713.8</v>
      </c>
      <c r="N8" s="10">
        <f t="shared" si="4"/>
        <v>179037404.6</v>
      </c>
      <c r="O8" s="10">
        <f t="shared" si="4"/>
        <v>172982999.6</v>
      </c>
      <c r="P8" s="10">
        <f t="shared" si="4"/>
        <v>167133333</v>
      </c>
      <c r="Q8" s="10">
        <f t="shared" si="4"/>
        <v>161481481.1</v>
      </c>
      <c r="R8" s="10">
        <f t="shared" si="4"/>
        <v>156020754.7</v>
      </c>
      <c r="S8" s="10">
        <f t="shared" si="4"/>
        <v>150744690.6</v>
      </c>
      <c r="T8" s="10">
        <f t="shared" si="4"/>
        <v>145647044</v>
      </c>
      <c r="U8" s="10">
        <f t="shared" si="4"/>
        <v>140721781.7</v>
      </c>
      <c r="V8" s="10">
        <f t="shared" si="4"/>
        <v>135963074.1</v>
      </c>
      <c r="W8" s="10">
        <f t="shared" si="4"/>
        <v>131365289</v>
      </c>
      <c r="X8" s="10">
        <f t="shared" si="4"/>
        <v>126922984.5</v>
      </c>
      <c r="Y8" s="10">
        <f t="shared" si="4"/>
        <v>122630902.9</v>
      </c>
      <c r="Z8" s="10">
        <f t="shared" si="4"/>
        <v>118483964.1</v>
      </c>
      <c r="AA8" s="10">
        <f t="shared" si="4"/>
        <v>114477260</v>
      </c>
      <c r="AB8" s="10">
        <f t="shared" si="4"/>
        <v>110606048.4</v>
      </c>
      <c r="AC8" s="11">
        <f t="shared" si="3"/>
        <v>4308089733</v>
      </c>
    </row>
    <row r="9">
      <c r="B9" s="7" t="s">
        <v>9</v>
      </c>
      <c r="C9" s="9">
        <v>2.31264E8</v>
      </c>
      <c r="D9" s="10">
        <f t="shared" ref="D9:AB9" si="5">$C9/(1+$D$2)^D$5</f>
        <v>223443478.3</v>
      </c>
      <c r="E9" s="10">
        <f t="shared" si="5"/>
        <v>215887418.6</v>
      </c>
      <c r="F9" s="10">
        <f t="shared" si="5"/>
        <v>208586877.9</v>
      </c>
      <c r="G9" s="10">
        <f t="shared" si="5"/>
        <v>201533215.3</v>
      </c>
      <c r="H9" s="10">
        <f t="shared" si="5"/>
        <v>194718082.5</v>
      </c>
      <c r="I9" s="10">
        <f t="shared" si="5"/>
        <v>188133413</v>
      </c>
      <c r="J9" s="10">
        <f t="shared" si="5"/>
        <v>181771413.5</v>
      </c>
      <c r="K9" s="10">
        <f t="shared" si="5"/>
        <v>175624554.1</v>
      </c>
      <c r="L9" s="10">
        <f t="shared" si="5"/>
        <v>169685559.6</v>
      </c>
      <c r="M9" s="10">
        <f t="shared" si="5"/>
        <v>163947400.5</v>
      </c>
      <c r="N9" s="10">
        <f t="shared" si="5"/>
        <v>158403285.5</v>
      </c>
      <c r="O9" s="10">
        <f t="shared" si="5"/>
        <v>153046652.7</v>
      </c>
      <c r="P9" s="10">
        <f t="shared" si="5"/>
        <v>147871162</v>
      </c>
      <c r="Q9" s="10">
        <f t="shared" si="5"/>
        <v>142870687.9</v>
      </c>
      <c r="R9" s="10">
        <f t="shared" si="5"/>
        <v>138039312</v>
      </c>
      <c r="S9" s="10">
        <f t="shared" si="5"/>
        <v>133371316</v>
      </c>
      <c r="T9" s="10">
        <f t="shared" si="5"/>
        <v>128861174.8</v>
      </c>
      <c r="U9" s="10">
        <f t="shared" si="5"/>
        <v>124503550.6</v>
      </c>
      <c r="V9" s="10">
        <f t="shared" si="5"/>
        <v>120293285.6</v>
      </c>
      <c r="W9" s="10">
        <f t="shared" si="5"/>
        <v>116225396.7</v>
      </c>
      <c r="X9" s="10">
        <f t="shared" si="5"/>
        <v>112295069.3</v>
      </c>
      <c r="Y9" s="10">
        <f t="shared" si="5"/>
        <v>108497651.5</v>
      </c>
      <c r="Z9" s="10">
        <f t="shared" si="5"/>
        <v>104828648.8</v>
      </c>
      <c r="AA9" s="10">
        <f t="shared" si="5"/>
        <v>101283718.6</v>
      </c>
      <c r="AB9" s="10">
        <f t="shared" si="5"/>
        <v>97858665.33</v>
      </c>
      <c r="AC9" s="11">
        <f t="shared" si="3"/>
        <v>3811580991</v>
      </c>
    </row>
    <row r="10" hidden="1">
      <c r="B10" s="7" t="s">
        <v>10</v>
      </c>
      <c r="C10" s="9">
        <v>1.105E8</v>
      </c>
      <c r="D10" s="10">
        <f t="shared" ref="D10:AB10" si="6">$C10/(1+$D$2)^D$5</f>
        <v>106763285</v>
      </c>
      <c r="E10" s="10">
        <f t="shared" si="6"/>
        <v>103152932.4</v>
      </c>
      <c r="F10" s="10">
        <f t="shared" si="6"/>
        <v>99664668.98</v>
      </c>
      <c r="G10" s="10">
        <f t="shared" si="6"/>
        <v>96294366.16</v>
      </c>
      <c r="H10" s="10">
        <f t="shared" si="6"/>
        <v>93038034.94</v>
      </c>
      <c r="I10" s="10">
        <f t="shared" si="6"/>
        <v>89891821.2</v>
      </c>
      <c r="J10" s="10">
        <f t="shared" si="6"/>
        <v>86852001.16</v>
      </c>
      <c r="K10" s="10">
        <f t="shared" si="6"/>
        <v>83914976.96</v>
      </c>
      <c r="L10" s="10">
        <f t="shared" si="6"/>
        <v>81077272.43</v>
      </c>
      <c r="M10" s="10">
        <f t="shared" si="6"/>
        <v>78335528.91</v>
      </c>
      <c r="N10" s="10">
        <f t="shared" si="6"/>
        <v>75686501.37</v>
      </c>
      <c r="O10" s="10">
        <f t="shared" si="6"/>
        <v>73127054.46</v>
      </c>
      <c r="P10" s="10">
        <f t="shared" si="6"/>
        <v>70654158.9</v>
      </c>
      <c r="Q10" s="10">
        <f t="shared" si="6"/>
        <v>68264887.83</v>
      </c>
      <c r="R10" s="10">
        <f t="shared" si="6"/>
        <v>65956413.36</v>
      </c>
      <c r="S10" s="10">
        <f t="shared" si="6"/>
        <v>63726003.24</v>
      </c>
      <c r="T10" s="10">
        <f t="shared" si="6"/>
        <v>61571017.63</v>
      </c>
      <c r="U10" s="10">
        <f t="shared" si="6"/>
        <v>59488905.92</v>
      </c>
      <c r="V10" s="10">
        <f t="shared" si="6"/>
        <v>57477203.79</v>
      </c>
      <c r="W10" s="10">
        <f t="shared" si="6"/>
        <v>55533530.23</v>
      </c>
      <c r="X10" s="10">
        <f t="shared" si="6"/>
        <v>53655584.76</v>
      </c>
      <c r="Y10" s="10">
        <f t="shared" si="6"/>
        <v>51841144.7</v>
      </c>
      <c r="Z10" s="10">
        <f t="shared" si="6"/>
        <v>50088062.51</v>
      </c>
      <c r="AA10" s="10">
        <f t="shared" si="6"/>
        <v>48394263.3</v>
      </c>
      <c r="AB10" s="10">
        <f t="shared" si="6"/>
        <v>46757742.31</v>
      </c>
      <c r="AC10" s="11">
        <f t="shared" si="3"/>
        <v>1821207362</v>
      </c>
    </row>
    <row r="11">
      <c r="B11" s="3" t="s">
        <v>11</v>
      </c>
      <c r="C11" s="12">
        <v>6795500.0</v>
      </c>
      <c r="D11" s="10">
        <f t="shared" ref="D11:AB11" si="7">$C11/(1+$D$2)^D$5</f>
        <v>6565700.483</v>
      </c>
      <c r="E11" s="10">
        <f t="shared" si="7"/>
        <v>6343671.964</v>
      </c>
      <c r="F11" s="10">
        <f t="shared" si="7"/>
        <v>6129151.656</v>
      </c>
      <c r="G11" s="10">
        <f t="shared" si="7"/>
        <v>5921885.658</v>
      </c>
      <c r="H11" s="10">
        <f t="shared" si="7"/>
        <v>5721628.655</v>
      </c>
      <c r="I11" s="10">
        <f t="shared" si="7"/>
        <v>5528143.628</v>
      </c>
      <c r="J11" s="10">
        <f t="shared" si="7"/>
        <v>5341201.573</v>
      </c>
      <c r="K11" s="10">
        <f t="shared" si="7"/>
        <v>5160581.23</v>
      </c>
      <c r="L11" s="10">
        <f t="shared" si="7"/>
        <v>4986068.822</v>
      </c>
      <c r="M11" s="10">
        <f t="shared" si="7"/>
        <v>4817457.799</v>
      </c>
      <c r="N11" s="10">
        <f t="shared" si="7"/>
        <v>4654548.598</v>
      </c>
      <c r="O11" s="10">
        <f t="shared" si="7"/>
        <v>4497148.404</v>
      </c>
      <c r="P11" s="10">
        <f t="shared" si="7"/>
        <v>4345070.921</v>
      </c>
      <c r="Q11" s="10">
        <f t="shared" si="7"/>
        <v>4198136.156</v>
      </c>
      <c r="R11" s="10">
        <f t="shared" si="7"/>
        <v>4056170.199</v>
      </c>
      <c r="S11" s="10">
        <f t="shared" si="7"/>
        <v>3919005.023</v>
      </c>
      <c r="T11" s="10">
        <f t="shared" si="7"/>
        <v>3786478.283</v>
      </c>
      <c r="U11" s="10">
        <f t="shared" si="7"/>
        <v>3658433.124</v>
      </c>
      <c r="V11" s="10">
        <f t="shared" si="7"/>
        <v>3534717.994</v>
      </c>
      <c r="W11" s="10">
        <f t="shared" si="7"/>
        <v>3415186.468</v>
      </c>
      <c r="X11" s="10">
        <f t="shared" si="7"/>
        <v>3299697.07</v>
      </c>
      <c r="Y11" s="10">
        <f t="shared" si="7"/>
        <v>3188113.111</v>
      </c>
      <c r="Z11" s="10">
        <f t="shared" si="7"/>
        <v>3080302.523</v>
      </c>
      <c r="AA11" s="10">
        <f t="shared" si="7"/>
        <v>2976137.703</v>
      </c>
      <c r="AB11" s="10">
        <f t="shared" si="7"/>
        <v>2875495.366</v>
      </c>
      <c r="AC11" s="11">
        <f t="shared" si="3"/>
        <v>112000132.4</v>
      </c>
    </row>
    <row r="12">
      <c r="B12" s="13" t="s">
        <v>12</v>
      </c>
      <c r="C12" s="9" t="s">
        <v>13</v>
      </c>
      <c r="D12" s="1" t="s">
        <v>14</v>
      </c>
    </row>
    <row r="13">
      <c r="B13" s="7" t="s">
        <v>15</v>
      </c>
      <c r="C13" s="9">
        <v>7.5982172E7</v>
      </c>
      <c r="D13" s="11">
        <f t="shared" ref="D13:D14" si="8">C13/(1+$D$2)^25</f>
        <v>32151627.32</v>
      </c>
    </row>
    <row r="14">
      <c r="B14" s="7" t="s">
        <v>16</v>
      </c>
      <c r="C14" s="14">
        <v>3.3957E7</v>
      </c>
      <c r="D14" s="11">
        <f t="shared" si="8"/>
        <v>14368802.31</v>
      </c>
    </row>
    <row r="16">
      <c r="B16" s="15" t="s">
        <v>17</v>
      </c>
      <c r="C16" s="5"/>
      <c r="D16" s="5"/>
      <c r="E16" s="6"/>
      <c r="F16" s="16" t="s">
        <v>18</v>
      </c>
      <c r="G16" s="5"/>
      <c r="H16" s="5"/>
      <c r="I16" s="6"/>
    </row>
    <row r="17">
      <c r="B17" s="17" t="s">
        <v>19</v>
      </c>
      <c r="C17" s="17" t="s">
        <v>20</v>
      </c>
      <c r="D17" s="17" t="s">
        <v>21</v>
      </c>
      <c r="E17" s="17" t="s">
        <v>20</v>
      </c>
      <c r="F17" s="18" t="s">
        <v>19</v>
      </c>
      <c r="G17" s="18" t="s">
        <v>22</v>
      </c>
      <c r="H17" s="18" t="s">
        <v>21</v>
      </c>
      <c r="I17" s="18" t="s">
        <v>22</v>
      </c>
    </row>
    <row r="18">
      <c r="B18" s="19" t="s">
        <v>23</v>
      </c>
      <c r="C18" s="20">
        <v>1.1025558E9</v>
      </c>
      <c r="D18" s="21"/>
      <c r="E18" s="21"/>
      <c r="F18" s="22" t="s">
        <v>24</v>
      </c>
      <c r="G18" s="23">
        <v>1.6535558E9</v>
      </c>
      <c r="H18" s="24"/>
      <c r="I18" s="24"/>
    </row>
    <row r="19">
      <c r="B19" s="19" t="s">
        <v>25</v>
      </c>
      <c r="C19" s="20">
        <f t="shared" ref="C19:C20" si="9">AC6</f>
        <v>7021619.662</v>
      </c>
      <c r="D19" s="19" t="s">
        <v>26</v>
      </c>
      <c r="E19" s="20">
        <f>AC8</f>
        <v>4308089733</v>
      </c>
      <c r="F19" s="22" t="s">
        <v>25</v>
      </c>
      <c r="G19" s="23">
        <f>AC6</f>
        <v>7021619.662</v>
      </c>
      <c r="H19" s="22" t="s">
        <v>26</v>
      </c>
      <c r="I19" s="24"/>
    </row>
    <row r="20">
      <c r="B20" s="19" t="s">
        <v>27</v>
      </c>
      <c r="C20" s="20">
        <f t="shared" si="9"/>
        <v>363453590.2</v>
      </c>
      <c r="D20" s="19" t="s">
        <v>28</v>
      </c>
      <c r="E20" s="21"/>
      <c r="F20" s="22" t="s">
        <v>27</v>
      </c>
      <c r="G20" s="23">
        <f>C20*1.5</f>
        <v>545180385.2</v>
      </c>
      <c r="H20" s="22" t="s">
        <v>28</v>
      </c>
      <c r="I20" s="23">
        <f>AC9</f>
        <v>3811580991</v>
      </c>
    </row>
    <row r="21">
      <c r="B21" s="19" t="s">
        <v>15</v>
      </c>
      <c r="C21" s="25">
        <v>3.2151627E7</v>
      </c>
      <c r="D21" s="19" t="s">
        <v>29</v>
      </c>
      <c r="E21" s="25">
        <v>1.4368802E7</v>
      </c>
      <c r="F21" s="22" t="s">
        <v>15</v>
      </c>
      <c r="G21" s="26">
        <v>3.2151627E7</v>
      </c>
      <c r="H21" s="22" t="s">
        <v>29</v>
      </c>
      <c r="I21" s="23">
        <v>1.4368802E7</v>
      </c>
      <c r="U21" s="27"/>
      <c r="X21" s="27"/>
      <c r="Y21" s="27"/>
      <c r="AA21" s="27"/>
    </row>
    <row r="22">
      <c r="B22" s="28" t="s">
        <v>30</v>
      </c>
      <c r="C22" s="29">
        <f>SUM(C18:C21)</f>
        <v>1505182637</v>
      </c>
      <c r="D22" s="21"/>
      <c r="E22" s="30">
        <f>SUM(E19:E21)</f>
        <v>4322458535</v>
      </c>
      <c r="F22" s="24"/>
      <c r="G22" s="31">
        <f>SUM(G18:G21)</f>
        <v>2237909432</v>
      </c>
      <c r="H22" s="24"/>
      <c r="I22" s="32">
        <f>SUM(I20:I21)</f>
        <v>3825949793</v>
      </c>
      <c r="U22" s="27"/>
      <c r="X22" s="27"/>
      <c r="Y22" s="27"/>
      <c r="AA22" s="27"/>
    </row>
    <row r="23">
      <c r="C23" s="33" t="s">
        <v>31</v>
      </c>
      <c r="U23" s="27"/>
      <c r="X23" s="27"/>
      <c r="Y23" s="27"/>
    </row>
    <row r="24">
      <c r="B24" s="33" t="s">
        <v>32</v>
      </c>
      <c r="C24" s="33" t="s">
        <v>33</v>
      </c>
      <c r="D24" s="33" t="s">
        <v>34</v>
      </c>
      <c r="U24" s="34"/>
      <c r="X24" s="27"/>
      <c r="Y24" s="27"/>
    </row>
    <row r="25">
      <c r="B25" s="33">
        <v>3.5</v>
      </c>
      <c r="C25" s="35">
        <v>2.817275897941618E9</v>
      </c>
      <c r="D25" s="35">
        <v>1.588040360759767E9</v>
      </c>
      <c r="T25" s="36"/>
      <c r="X25" s="27"/>
      <c r="Y25" s="27"/>
    </row>
    <row r="26">
      <c r="B26" s="33">
        <v>5.0</v>
      </c>
      <c r="C26" s="35">
        <v>2.246859243742368E9</v>
      </c>
      <c r="D26" s="35">
        <v>1.1158752859429703E9</v>
      </c>
      <c r="Y26" s="27"/>
    </row>
    <row r="27">
      <c r="B27" s="33">
        <v>7.5</v>
      </c>
      <c r="C27" s="35">
        <v>1.5427889450796826E9</v>
      </c>
      <c r="D27" s="35">
        <v>5.330777767941086E8</v>
      </c>
      <c r="Y27" s="27"/>
    </row>
    <row r="28">
      <c r="B28" s="33">
        <v>10.0</v>
      </c>
      <c r="C28" s="35">
        <v>1.0482657469447117E9</v>
      </c>
      <c r="D28" s="35">
        <v>1.2373386804407048E8</v>
      </c>
      <c r="Y28" s="27"/>
    </row>
    <row r="29">
      <c r="B29" s="33">
        <v>12.5</v>
      </c>
      <c r="C29" s="35">
        <v>6.90368760935482E8</v>
      </c>
      <c r="D29" s="35">
        <v>-1.72517049476871E8</v>
      </c>
      <c r="Z29" s="35"/>
    </row>
    <row r="30">
      <c r="B30" s="33">
        <v>15.0</v>
      </c>
      <c r="C30" s="35">
        <v>4.240174579374597E8</v>
      </c>
      <c r="D30" s="35">
        <v>-3.929905962812798E8</v>
      </c>
    </row>
    <row r="31">
      <c r="B31" s="33">
        <v>17.5</v>
      </c>
      <c r="C31" s="35">
        <v>2.2064257067857432E8</v>
      </c>
      <c r="D31" s="35">
        <v>-5.613351180471301E8</v>
      </c>
    </row>
    <row r="32">
      <c r="B32" s="33">
        <v>20.0</v>
      </c>
      <c r="C32" s="35">
        <v>6.169415446208191E7</v>
      </c>
      <c r="D32" s="35">
        <v>-6.92905418953274E8</v>
      </c>
    </row>
    <row r="33">
      <c r="B33" s="33">
        <v>22.5</v>
      </c>
      <c r="C33" s="35">
        <v>-6.515951559101462E7</v>
      </c>
      <c r="D33" s="35">
        <v>-7.979091424078192E8</v>
      </c>
    </row>
    <row r="34">
      <c r="C34" s="35"/>
      <c r="D34" s="35"/>
    </row>
    <row r="35">
      <c r="C35" s="35"/>
      <c r="D35" s="35"/>
    </row>
    <row r="36">
      <c r="C36" s="35"/>
      <c r="D36" s="35"/>
    </row>
    <row r="37">
      <c r="C37" s="35"/>
      <c r="D37" s="35"/>
      <c r="O37" s="15" t="s">
        <v>35</v>
      </c>
      <c r="P37" s="5"/>
      <c r="Q37" s="5"/>
      <c r="R37" s="6"/>
      <c r="S37" s="16" t="s">
        <v>18</v>
      </c>
      <c r="T37" s="5"/>
      <c r="U37" s="5"/>
      <c r="V37" s="6"/>
    </row>
    <row r="38">
      <c r="O38" s="17" t="s">
        <v>19</v>
      </c>
      <c r="P38" s="17" t="s">
        <v>20</v>
      </c>
      <c r="Q38" s="17" t="s">
        <v>21</v>
      </c>
      <c r="R38" s="17" t="s">
        <v>20</v>
      </c>
      <c r="S38" s="18" t="s">
        <v>19</v>
      </c>
      <c r="T38" s="18" t="s">
        <v>22</v>
      </c>
      <c r="U38" s="18" t="s">
        <v>21</v>
      </c>
      <c r="V38" s="18" t="s">
        <v>22</v>
      </c>
    </row>
    <row r="39">
      <c r="O39" s="19" t="s">
        <v>23</v>
      </c>
      <c r="P39" s="20">
        <v>9.188415E8</v>
      </c>
      <c r="Q39" s="21"/>
      <c r="R39" s="21"/>
      <c r="S39" s="22" t="s">
        <v>23</v>
      </c>
      <c r="T39" s="23">
        <v>1.37826225E9</v>
      </c>
      <c r="U39" s="23"/>
      <c r="V39" s="24"/>
    </row>
    <row r="40">
      <c r="O40" s="19" t="s">
        <v>25</v>
      </c>
      <c r="P40" s="20">
        <v>1.12000132E8</v>
      </c>
      <c r="Q40" s="19" t="s">
        <v>36</v>
      </c>
      <c r="R40" s="25">
        <v>1.821448385E9</v>
      </c>
      <c r="S40" s="22" t="s">
        <v>25</v>
      </c>
      <c r="T40" s="23">
        <v>1.12000132E8</v>
      </c>
      <c r="U40" s="22" t="s">
        <v>26</v>
      </c>
      <c r="V40" s="24"/>
    </row>
    <row r="41">
      <c r="O41" s="19" t="s">
        <v>27</v>
      </c>
      <c r="P41" s="20">
        <v>1.81726795E8</v>
      </c>
      <c r="Q41" s="19" t="s">
        <v>28</v>
      </c>
      <c r="R41" s="21"/>
      <c r="S41" s="22" t="s">
        <v>27</v>
      </c>
      <c r="T41" s="23">
        <v>2.72590193E8</v>
      </c>
      <c r="U41" s="22" t="s">
        <v>28</v>
      </c>
      <c r="V41" s="23">
        <v>1.611525871E9</v>
      </c>
    </row>
    <row r="42">
      <c r="O42" s="19" t="s">
        <v>15</v>
      </c>
      <c r="P42" s="25">
        <v>3.2151627E7</v>
      </c>
      <c r="Q42" s="19" t="s">
        <v>29</v>
      </c>
      <c r="R42" s="25">
        <v>1.4368802E7</v>
      </c>
      <c r="S42" s="22" t="s">
        <v>15</v>
      </c>
      <c r="T42" s="23">
        <v>3.2151627E7</v>
      </c>
      <c r="U42" s="22" t="s">
        <v>29</v>
      </c>
      <c r="V42" s="23">
        <v>1.4368802E7</v>
      </c>
    </row>
    <row r="43">
      <c r="P43" s="35">
        <f>SUM(P39:P42)</f>
        <v>1244720054</v>
      </c>
      <c r="R43" s="35">
        <f>SUM(R40:R42)</f>
        <v>1835817187</v>
      </c>
      <c r="T43" s="35">
        <f>SUM(T39:T42)</f>
        <v>1795004202</v>
      </c>
      <c r="V43" s="37">
        <f>SUM(V39:V42)</f>
        <v>1625894673</v>
      </c>
    </row>
    <row r="44">
      <c r="Q44" s="35">
        <f>R43-P43</f>
        <v>591097133</v>
      </c>
      <c r="U44" s="35">
        <f>V43-T43</f>
        <v>-169109529</v>
      </c>
    </row>
  </sheetData>
  <mergeCells count="6">
    <mergeCell ref="D4:AB4"/>
    <mergeCell ref="B16:E16"/>
    <mergeCell ref="F16:I16"/>
    <mergeCell ref="C23:D23"/>
    <mergeCell ref="O37:R37"/>
    <mergeCell ref="S37:V37"/>
  </mergeCells>
  <drawing r:id="rId1"/>
</worksheet>
</file>